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Nestor Figueredo\Desktop\"/>
    </mc:Choice>
  </mc:AlternateContent>
  <xr:revisionPtr revIDLastSave="0" documentId="13_ncr:1_{378D0EF0-7E8B-4E1C-BDCA-13665ADBE06A}" xr6:coauthVersionLast="47" xr6:coauthVersionMax="47" xr10:uidLastSave="{00000000-0000-0000-0000-000000000000}"/>
  <bookViews>
    <workbookView xWindow="-120" yWindow="-120" windowWidth="15600" windowHeight="8790" activeTab="3" xr2:uid="{00000000-000D-0000-FFFF-FFFF00000000}"/>
  </bookViews>
  <sheets>
    <sheet name="INV" sheetId="1" r:id="rId1"/>
    <sheet name="NOTA $" sheetId="2" r:id="rId2"/>
    <sheet name="NOTA BS" sheetId="4" r:id="rId3"/>
    <sheet name="PRESUP" sheetId="7" r:id="rId4"/>
    <sheet name="DATA" sheetId="3" state="hidden" r:id="rId5"/>
  </sheets>
  <definedNames>
    <definedName name="_xlnm._FilterDatabase" localSheetId="0" hidden="1">INV!$D$1:$D$51</definedName>
    <definedName name="_xlnm._FilterDatabase" localSheetId="1" hidden="1">'NOTA $'!$G$16</definedName>
    <definedName name="_xlnm._FilterDatabase" localSheetId="2" hidden="1">'NOTA BS'!$G$16</definedName>
    <definedName name="_xlnm._FilterDatabase" localSheetId="3" hidden="1">PRESUP!$I$16</definedName>
    <definedName name="_xlnm.Print_Area" localSheetId="0">INV!$A$1:$F$41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4" l="1"/>
  <c r="G30" i="4"/>
  <c r="G29" i="4"/>
  <c r="G28" i="4"/>
  <c r="G27" i="4"/>
  <c r="G26" i="4"/>
  <c r="G25" i="4"/>
  <c r="G24" i="4"/>
  <c r="G23" i="4"/>
  <c r="G22" i="4"/>
  <c r="G21" i="4"/>
  <c r="H31" i="4"/>
  <c r="H30" i="4"/>
  <c r="H29" i="4"/>
  <c r="H28" i="4"/>
  <c r="H27" i="4"/>
  <c r="H26" i="4"/>
  <c r="H25" i="4"/>
  <c r="H24" i="4"/>
  <c r="H23" i="4"/>
  <c r="H22" i="4"/>
  <c r="H31" i="2"/>
  <c r="H30" i="2"/>
  <c r="H29" i="2"/>
  <c r="H28" i="2"/>
  <c r="H27" i="2"/>
  <c r="H26" i="2"/>
  <c r="H25" i="2"/>
  <c r="H24" i="2"/>
  <c r="H23" i="2"/>
  <c r="H22" i="2"/>
  <c r="G22" i="2"/>
  <c r="C21" i="2"/>
  <c r="C21" i="7"/>
  <c r="C22" i="7"/>
  <c r="C23" i="7"/>
  <c r="C24" i="7"/>
  <c r="C25" i="7"/>
  <c r="C26" i="7"/>
  <c r="C27" i="7"/>
  <c r="C28" i="7"/>
  <c r="C29" i="7"/>
  <c r="C30" i="7"/>
  <c r="C31" i="7"/>
  <c r="J16" i="7"/>
  <c r="H34" i="7"/>
  <c r="G34" i="7"/>
  <c r="F34" i="7"/>
  <c r="G31" i="7"/>
  <c r="H31" i="7" s="1"/>
  <c r="J31" i="7"/>
  <c r="D31" i="7"/>
  <c r="G30" i="7"/>
  <c r="H30" i="7" s="1"/>
  <c r="J30" i="7"/>
  <c r="D30" i="7"/>
  <c r="G29" i="7"/>
  <c r="H29" i="7" s="1"/>
  <c r="J29" i="7"/>
  <c r="D29" i="7"/>
  <c r="G28" i="7"/>
  <c r="H28" i="7" s="1"/>
  <c r="J28" i="7"/>
  <c r="D28" i="7"/>
  <c r="G27" i="7"/>
  <c r="H27" i="7" s="1"/>
  <c r="J27" i="7"/>
  <c r="D27" i="7"/>
  <c r="G26" i="7"/>
  <c r="H26" i="7" s="1"/>
  <c r="J26" i="7"/>
  <c r="D26" i="7"/>
  <c r="G25" i="7"/>
  <c r="H25" i="7" s="1"/>
  <c r="J25" i="7"/>
  <c r="D25" i="7"/>
  <c r="G24" i="7"/>
  <c r="H24" i="7" s="1"/>
  <c r="J24" i="7"/>
  <c r="D24" i="7"/>
  <c r="G23" i="7"/>
  <c r="H23" i="7" s="1"/>
  <c r="J23" i="7"/>
  <c r="D23" i="7"/>
  <c r="G22" i="7"/>
  <c r="H22" i="7"/>
  <c r="D22" i="7"/>
  <c r="G21" i="7"/>
  <c r="H21" i="7" s="1"/>
  <c r="D21" i="7"/>
  <c r="J10" i="7"/>
  <c r="J12" i="7"/>
  <c r="G34" i="2"/>
  <c r="H21" i="4"/>
  <c r="G21" i="2"/>
  <c r="H21" i="2" s="1"/>
  <c r="H34" i="2" s="1"/>
  <c r="I31" i="7"/>
  <c r="I30" i="7"/>
  <c r="I29" i="7"/>
  <c r="I28" i="7"/>
  <c r="I27" i="7"/>
  <c r="I26" i="7"/>
  <c r="I25" i="7"/>
  <c r="I24" i="7"/>
  <c r="I23" i="7"/>
  <c r="I22" i="7"/>
  <c r="J22" i="7"/>
  <c r="I21" i="7"/>
  <c r="J21" i="7"/>
  <c r="G31" i="2"/>
  <c r="G30" i="2"/>
  <c r="G29" i="2"/>
  <c r="G28" i="2"/>
  <c r="G27" i="2"/>
  <c r="G26" i="2"/>
  <c r="G25" i="2"/>
  <c r="G24" i="2"/>
  <c r="G23" i="2"/>
  <c r="G34" i="4"/>
  <c r="F34" i="4"/>
  <c r="C31" i="4"/>
  <c r="C30" i="4"/>
  <c r="C29" i="4"/>
  <c r="C28" i="4"/>
  <c r="C27" i="4"/>
  <c r="C26" i="4"/>
  <c r="C25" i="4"/>
  <c r="C24" i="4"/>
  <c r="C23" i="4"/>
  <c r="C22" i="4"/>
  <c r="C21" i="4"/>
  <c r="D21" i="4"/>
  <c r="H10" i="4"/>
  <c r="F34" i="2"/>
  <c r="E34" i="2"/>
  <c r="C31" i="2"/>
  <c r="D31" i="2"/>
  <c r="C30" i="2"/>
  <c r="D30" i="2"/>
  <c r="C29" i="2"/>
  <c r="D29" i="2"/>
  <c r="C28" i="2"/>
  <c r="D28" i="2"/>
  <c r="C27" i="2"/>
  <c r="D27" i="2"/>
  <c r="C26" i="2"/>
  <c r="D26" i="2"/>
  <c r="C25" i="2"/>
  <c r="D25" i="2"/>
  <c r="C24" i="2"/>
  <c r="D24" i="2"/>
  <c r="C23" i="2"/>
  <c r="D23" i="2"/>
  <c r="C22" i="2"/>
  <c r="D22" i="2"/>
  <c r="D21" i="2"/>
  <c r="H10" i="2"/>
  <c r="D24" i="4"/>
  <c r="D25" i="4"/>
  <c r="D26" i="4"/>
  <c r="D27" i="4"/>
  <c r="D28" i="4"/>
  <c r="D29" i="4"/>
  <c r="D30" i="4"/>
  <c r="D31" i="4"/>
  <c r="J34" i="7"/>
  <c r="I34" i="7"/>
  <c r="H12" i="4"/>
  <c r="H12" i="2"/>
  <c r="D23" i="4"/>
  <c r="D22" i="4"/>
  <c r="H34" i="4" l="1"/>
</calcChain>
</file>

<file path=xl/sharedStrings.xml><?xml version="1.0" encoding="utf-8"?>
<sst xmlns="http://schemas.openxmlformats.org/spreadsheetml/2006/main" count="328" uniqueCount="243">
  <si>
    <t>#</t>
  </si>
  <si>
    <t>CÓDIGO</t>
  </si>
  <si>
    <t>COD. REF.</t>
  </si>
  <si>
    <t>PRODUCTO</t>
  </si>
  <si>
    <t>DESCRIPCIÓN</t>
  </si>
  <si>
    <t>01</t>
  </si>
  <si>
    <t>UDAM001</t>
  </si>
  <si>
    <t>700231</t>
  </si>
  <si>
    <t>02</t>
  </si>
  <si>
    <t>UDAM002</t>
  </si>
  <si>
    <t>700232</t>
  </si>
  <si>
    <t>03</t>
  </si>
  <si>
    <t>UDAM003</t>
  </si>
  <si>
    <t>700233</t>
  </si>
  <si>
    <t>04</t>
  </si>
  <si>
    <t>UDAM004</t>
  </si>
  <si>
    <t>700234</t>
  </si>
  <si>
    <t>ALAMBRE MIG DE ALUMINIO ER4043 .035" - 0.9 mm SUA 16 LBS - 7,27 KG</t>
  </si>
  <si>
    <t>05</t>
  </si>
  <si>
    <t>UDAM005</t>
  </si>
  <si>
    <t>700235</t>
  </si>
  <si>
    <t>CABLE PARA SOLDAR FLEX-A-PRENE CALIBRE 1/0 AWG / BATERÍA, NEGRO, 600 V, FABRICADO EN EE. UU.</t>
  </si>
  <si>
    <t>06</t>
  </si>
  <si>
    <t>UDAM006</t>
  </si>
  <si>
    <t>700236</t>
  </si>
  <si>
    <t>CABLE PARA SOLDAR FLEX-A-PRENE CALIBRE 2/0 AWG / BATERÍA, NEGRO, 600 V, FABRICADO EN EE. UU.</t>
  </si>
  <si>
    <t>07</t>
  </si>
  <si>
    <t>UDAM007</t>
  </si>
  <si>
    <t>700237</t>
  </si>
  <si>
    <t>CABLE PARA SOLDAR FLEX-A-PRENE CALIBRE 4 AWG / BATERÍA, NEGRO, 600 V, FABRICADO EN EE. UU.</t>
  </si>
  <si>
    <t>08</t>
  </si>
  <si>
    <t>UDAM008</t>
  </si>
  <si>
    <t>700238</t>
  </si>
  <si>
    <t>CABLE PARA SOLDAR FLEX-A-PRENE CALIBRE 4/0 AWG / BATERÍA, NEGRO, 600 V, FABRICADO EN EE. UU.</t>
  </si>
  <si>
    <t>09</t>
  </si>
  <si>
    <t>UDAM009</t>
  </si>
  <si>
    <t>700239</t>
  </si>
  <si>
    <t>ENVASE - HUMIFICADOR PARA OXIGENO MEDICINAL</t>
  </si>
  <si>
    <t>10</t>
  </si>
  <si>
    <t>UDAM010</t>
  </si>
  <si>
    <t>700240</t>
  </si>
  <si>
    <t>EQUIPO SUA DE OXICORTE WYVERN H - TRABAJO MEDIANO / PESADO, TIPO HARRIS. MALETA PLÁSTICA</t>
  </si>
  <si>
    <t>11</t>
  </si>
  <si>
    <t>UDAM011</t>
  </si>
  <si>
    <t>700241</t>
  </si>
  <si>
    <t>FLUJÓMETRO - REGULADOR DE OXÍGENO MEDICINAL - PARED. MODELO FM1978-15L-CH</t>
  </si>
  <si>
    <t>FLUJÓMETRO  - REGULADOR DE OXÍGENO MEDICINAL - PARED. MODELO FM1978-15L-CH</t>
  </si>
  <si>
    <t>12</t>
  </si>
  <si>
    <t>UDAM012</t>
  </si>
  <si>
    <t>700242</t>
  </si>
  <si>
    <t>FLUJÓMETRO - REGULADOR PARA CO2</t>
  </si>
  <si>
    <t>13</t>
  </si>
  <si>
    <t>UDAM013</t>
  </si>
  <si>
    <t>700243</t>
  </si>
  <si>
    <t>14</t>
  </si>
  <si>
    <t>UDAM014</t>
  </si>
  <si>
    <t>700244</t>
  </si>
  <si>
    <t>15</t>
  </si>
  <si>
    <t>UDAM015</t>
  </si>
  <si>
    <t>700245</t>
  </si>
  <si>
    <t>MANGUERA SUA DOBLE PARA OXICORTE DE 100 PIES - 30 M CON CONEXIONES ACOPLADAS</t>
  </si>
  <si>
    <t>16</t>
  </si>
  <si>
    <t>UDAM016</t>
  </si>
  <si>
    <t>700246</t>
  </si>
  <si>
    <t>MANGUERA SUA DOBLE PARA OXICORTE DE 15 PIES - 7,6 M CON CONEXIONES ACOPLADAS</t>
  </si>
  <si>
    <t>17</t>
  </si>
  <si>
    <t>UDAM017</t>
  </si>
  <si>
    <t>700247</t>
  </si>
  <si>
    <t>MANGUERA SUA DOBLE PARA OXICORTE DE 50 PIES - 15 M CON CONEXIONES ACOPLADAS</t>
  </si>
  <si>
    <t>18</t>
  </si>
  <si>
    <t>UDAM018</t>
  </si>
  <si>
    <t>700248</t>
  </si>
  <si>
    <t>MANGUERA SUA DOBLE PARA OXICORTE POR METRO (SIN CONEXIONES)</t>
  </si>
  <si>
    <t>19</t>
  </si>
  <si>
    <t>UDAM019</t>
  </si>
  <si>
    <t>700249</t>
  </si>
  <si>
    <t>20</t>
  </si>
  <si>
    <t>UDAM020</t>
  </si>
  <si>
    <t>700250</t>
  </si>
  <si>
    <t xml:space="preserve">REGULADOR - MANÓMETRO DE GAS INERTE, ARGÓN, CO2, NITRÓGENO, HELIO, HIDRÓGENO  DE ALTO FLUJO PARA TRABAJO PESADO DE 2,5" </t>
  </si>
  <si>
    <t>21</t>
  </si>
  <si>
    <t>UDAM021</t>
  </si>
  <si>
    <t>700251</t>
  </si>
  <si>
    <t xml:space="preserve">REGULADOR - MANÓMETRO DE O2 - OXÍGENO MEDIANO/PESADO DE 2,5" TIPO VICTOR MODELO V350 </t>
  </si>
  <si>
    <t>22</t>
  </si>
  <si>
    <t>UDAM022</t>
  </si>
  <si>
    <t>700252</t>
  </si>
  <si>
    <t>REGULADOR - MANÓMETRO DE OXÍGENO - GAS 2,5" (25HX-580) SUA</t>
  </si>
  <si>
    <t>23</t>
  </si>
  <si>
    <t>UDAM023</t>
  </si>
  <si>
    <t>700253</t>
  </si>
  <si>
    <t>REGULADOR - MANÓMETRO DE OXIGENO MEDICINAL TIPO WESTERN - SALIDA DISS - CGA-540 / 2"</t>
  </si>
  <si>
    <t>24</t>
  </si>
  <si>
    <t>UDAM024</t>
  </si>
  <si>
    <t>700254</t>
  </si>
  <si>
    <t>REGULADOR DE ACETILENO 2" CGA-200 CONEXIÓN POSTERIOR MODELO LDP. SUA</t>
  </si>
  <si>
    <t>25</t>
  </si>
  <si>
    <t>UDAM025</t>
  </si>
  <si>
    <t>700255</t>
  </si>
  <si>
    <t>REGULADOR DE CO2 PARA SISTEMAS DISPENSADORES DE BEBIDAS CARBONATADAS - SUA</t>
  </si>
  <si>
    <t>26</t>
  </si>
  <si>
    <t>UDAM026</t>
  </si>
  <si>
    <t>700256</t>
  </si>
  <si>
    <t>REGULADOR DE GAS INERTE 2" / NITRÓGENO, ARGÓN, HELIO. CGA-580 9/16</t>
  </si>
  <si>
    <t>27</t>
  </si>
  <si>
    <t>UDAM027</t>
  </si>
  <si>
    <t>700257</t>
  </si>
  <si>
    <t>REGULADOR DE GAS NITRÓGENO 2" DE 0 A 4000 PSI - PURGA DE HVAC - CARGA DE PRESIÓN - CONECTOR ABROCADO.  SUA</t>
  </si>
  <si>
    <t>28</t>
  </si>
  <si>
    <t>UDAM028</t>
  </si>
  <si>
    <t>700258</t>
  </si>
  <si>
    <t>29</t>
  </si>
  <si>
    <t>UDAM029</t>
  </si>
  <si>
    <t>700259</t>
  </si>
  <si>
    <t>REGULADOR DE OXIGENO MEDICINAL TIPO CLICK 0-15 LPM - SALIDA DISS CON ADAPTADOR DE MANGUERA - CGA-540</t>
  </si>
  <si>
    <t>30</t>
  </si>
  <si>
    <t>UDAM030</t>
  </si>
  <si>
    <t>700260</t>
  </si>
  <si>
    <t>REGULADOR DE PROPANO 1,8" CGA-510 CONEXIÓN POSTERIOR MODELO LDP.  SUA</t>
  </si>
  <si>
    <t>31</t>
  </si>
  <si>
    <t>UDAM031</t>
  </si>
  <si>
    <t>700261</t>
  </si>
  <si>
    <t>REGULADOR DE PROPANO 2,5" 25HX - 510A SUA</t>
  </si>
  <si>
    <t>32</t>
  </si>
  <si>
    <t>UDAM032</t>
  </si>
  <si>
    <t>700262</t>
  </si>
  <si>
    <t>REGULADOR MANÓMETRO DE OXIGENO 1,8" CGA-540 CONEXIÓN POSTERIOR MODELO LDP SUA</t>
  </si>
  <si>
    <t>33</t>
  </si>
  <si>
    <t>UDAM033</t>
  </si>
  <si>
    <t>700263</t>
  </si>
  <si>
    <t>SOLPLETE SUA TIPO HARRIS 18"</t>
  </si>
  <si>
    <t>SOPLETE SUA TIPO HARRIS 18"</t>
  </si>
  <si>
    <t>34</t>
  </si>
  <si>
    <t>UDAM034</t>
  </si>
  <si>
    <t>700264</t>
  </si>
  <si>
    <t>VARILLAS DE SOLDADURA TIG DE ACERO INOXIDABLE 308L 1/16" -  4,5KG</t>
  </si>
  <si>
    <t>35</t>
  </si>
  <si>
    <t>UDAM035</t>
  </si>
  <si>
    <t>700265</t>
  </si>
  <si>
    <t>VARILLAS DE SOLDADURA TIG DE ACERO INOXIDABLE 308L 3/32" - 4,5KG</t>
  </si>
  <si>
    <t>36</t>
  </si>
  <si>
    <t>UDAM036</t>
  </si>
  <si>
    <t>700266</t>
  </si>
  <si>
    <t>37</t>
  </si>
  <si>
    <t>UDAM037</t>
  </si>
  <si>
    <t>700267</t>
  </si>
  <si>
    <t>VARILLAS DE SOLDADURA TIG DE ALUMINIO ER4043 36"X 1/8" - 4,5KG</t>
  </si>
  <si>
    <t>38</t>
  </si>
  <si>
    <t>UDAM038</t>
  </si>
  <si>
    <t>700268</t>
  </si>
  <si>
    <t>VARILLAS DE SOLDADURA TIG DE ALUMINIO ER4043 36"X 3,32" - 4,5KG</t>
  </si>
  <si>
    <t>39</t>
  </si>
  <si>
    <t>UDAM039</t>
  </si>
  <si>
    <t>700269</t>
  </si>
  <si>
    <t>40</t>
  </si>
  <si>
    <t>UDAM040</t>
  </si>
  <si>
    <t>700270</t>
  </si>
  <si>
    <t>41</t>
  </si>
  <si>
    <t>UDAM041</t>
  </si>
  <si>
    <t>700271</t>
  </si>
  <si>
    <t>42</t>
  </si>
  <si>
    <t>UDAM042</t>
  </si>
  <si>
    <t>700272</t>
  </si>
  <si>
    <t>43</t>
  </si>
  <si>
    <t>UDAM043</t>
  </si>
  <si>
    <t>700273</t>
  </si>
  <si>
    <t>44</t>
  </si>
  <si>
    <t>UDAM044</t>
  </si>
  <si>
    <t>700274</t>
  </si>
  <si>
    <t>45</t>
  </si>
  <si>
    <t>UDAM045</t>
  </si>
  <si>
    <t>700275</t>
  </si>
  <si>
    <t>46</t>
  </si>
  <si>
    <t>UDAM046</t>
  </si>
  <si>
    <t>700276</t>
  </si>
  <si>
    <t>47</t>
  </si>
  <si>
    <t>UDAM047</t>
  </si>
  <si>
    <t>700277</t>
  </si>
  <si>
    <t>48</t>
  </si>
  <si>
    <t>UDAM048</t>
  </si>
  <si>
    <t>700278</t>
  </si>
  <si>
    <t>49</t>
  </si>
  <si>
    <t>UDAM049</t>
  </si>
  <si>
    <t>700279</t>
  </si>
  <si>
    <t>50</t>
  </si>
  <si>
    <t>UDAM050</t>
  </si>
  <si>
    <t>700280</t>
  </si>
  <si>
    <t>NOTA DE ENTREGA</t>
  </si>
  <si>
    <t>AV. ANDRÉS BELLO C/C LÓPEZ, LOCAL NRO, 87-66 SECTOR LA CANDELA</t>
  </si>
  <si>
    <t>RIF: J075102593</t>
  </si>
  <si>
    <t>CLIENTE:</t>
  </si>
  <si>
    <t>FECHA:</t>
  </si>
  <si>
    <t>C.I. / RIF:</t>
  </si>
  <si>
    <t>N° DOC:</t>
  </si>
  <si>
    <t>TELÉFONO:</t>
  </si>
  <si>
    <t>VENDEDOR:</t>
  </si>
  <si>
    <t>V-09036</t>
  </si>
  <si>
    <t>DIRECCION:</t>
  </si>
  <si>
    <t>TIPO DE PAGO:</t>
  </si>
  <si>
    <t>EFECTIVO ($)</t>
  </si>
  <si>
    <t>CÓD. UNIX</t>
  </si>
  <si>
    <t>CANTIDAD</t>
  </si>
  <si>
    <t>A PAGAR</t>
  </si>
  <si>
    <t>TOTAL A CANCELAR:</t>
  </si>
  <si>
    <t>CANT.</t>
  </si>
  <si>
    <t>SKU</t>
  </si>
  <si>
    <t>COSTO</t>
  </si>
  <si>
    <t>PAGO MÓVIL</t>
  </si>
  <si>
    <t>TASA B.C.V.:</t>
  </si>
  <si>
    <t>PRECIO Bs.</t>
  </si>
  <si>
    <t>TOTAL Bs.</t>
  </si>
  <si>
    <t>ZELLE</t>
  </si>
  <si>
    <t>TRANSF.</t>
  </si>
  <si>
    <t>VARILLAS DE SOLDADURA TIG DE ACERO INOXIDABLE 316 X 3/32" -  2KG</t>
  </si>
  <si>
    <t>ALAMBRE DE SOLDADURA MIG DE ALUMINIO ER5356 - 16LB (7,27 KG)  X 0.045" (1.2MM)</t>
  </si>
  <si>
    <t>ALAMBRE DE SOLDADURA MIG DE ACERO INOXIDABLE ER308L 15KG X 0,035" (0,9MM) SUA</t>
  </si>
  <si>
    <t>ALAMBRE DE SOLDADURA MIG DE ACERO INOXIDABLE 308 11,3KG X 0,035" (0,9MM) SUA</t>
  </si>
  <si>
    <t xml:space="preserve">ALAMBRE DE SOLDADURA MIG DE ACERO INOXIDABLE ER308L 11,3KG X 0,035" (0,9MM) </t>
  </si>
  <si>
    <t>ALAMBRE DE SOLDADURA MIG DE ALUMINIO ER5356 - 1LB (0,45 KG)  X 0.035" (0.9MM)</t>
  </si>
  <si>
    <t>COSTO EN DIVISAS</t>
  </si>
  <si>
    <t>SUMINISTROS Y ACCESORIOS CARABOBO</t>
  </si>
  <si>
    <t>TELÉFONO: 0212-8870026</t>
  </si>
  <si>
    <t xml:space="preserve">GENTEC - TOMA DE OXIGENO DE PARED - CONEXIÓN TIPO CHEMETRON </t>
  </si>
  <si>
    <t>GENTEC - TOMA DE OXIGENO DE PARED - CONEXIÓN TIPO CHEMETRON</t>
  </si>
  <si>
    <t>DESCUENTO:</t>
  </si>
  <si>
    <t>SI</t>
  </si>
  <si>
    <t>NO</t>
  </si>
  <si>
    <t>DCTO. PROM.</t>
  </si>
  <si>
    <t>REGULADOR DE LINEA PARA GASES</t>
  </si>
  <si>
    <t>COSTO $</t>
  </si>
  <si>
    <t>COSTO ($)</t>
  </si>
  <si>
    <t>COSTO (Bs.)</t>
  </si>
  <si>
    <t>PRESUPUESTO</t>
  </si>
  <si>
    <t>VALOR UNITARIO ($)</t>
  </si>
  <si>
    <t>CODIGO</t>
  </si>
  <si>
    <t>DESCRIP.</t>
  </si>
  <si>
    <t>VALOR UNITARIO (Bs)</t>
  </si>
  <si>
    <t xml:space="preserve">ALAMBRE MIG  E71T-11 CON FUNDENTE INTERNO (FLUXCORED) - MULTIPASO NO REQUIERE GAS - 2 LB </t>
  </si>
  <si>
    <t>FLUJÓMETRO - REGULADOR DE OXÍGENO MEDICINAL CONEXIÓN CGA540 1,8" - JAPAN</t>
  </si>
  <si>
    <t>MANGUERA DE GAS REFRIGERANTE - 60" (150CM) DE 800 A 4000 PSI - CONECTORES DE 1/4" FLARE (HEMBRA)</t>
  </si>
  <si>
    <t>FLUJÓMETRO - REGULADOR DE ARGON DE 2" PARA TIG Y MIG CGA-580 MODELO MD SÜA</t>
  </si>
  <si>
    <t>FINAL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</si>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</sst>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\$\ 0"/>
    <numFmt numFmtId="166" formatCode="\$\ 0.00"/>
  </numFmts>
  <fonts count="11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14" fontId="3" fillId="0" borderId="0" xfId="0" applyNumberFormat="1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 applyProtection="1">
      <alignment horizontal="center"/>
      <protection locked="0"/>
    </xf>
    <xf numFmtId="4" fontId="3" fillId="0" borderId="0" xfId="0" applyNumberFormat="1" applyFont="1" applyAlignment="1" applyProtection="1">
      <alignment horizontal="center" vertical="center" shrinkToFit="1"/>
      <protection locked="0"/>
    </xf>
    <xf numFmtId="0" fontId="5" fillId="0" borderId="0" xfId="0" applyFont="1" applyAlignment="1">
      <alignment horizontal="center"/>
    </xf>
    <xf numFmtId="0" fontId="3" fillId="0" borderId="0" xfId="0" applyFont="1" applyAlignment="1" applyProtection="1">
      <alignment horizontal="center" vertical="center" shrinkToFit="1"/>
      <protection locked="0"/>
    </xf>
    <xf numFmtId="0" fontId="3" fillId="0" borderId="0" xfId="0" applyFont="1" applyAlignment="1">
      <alignment horizontal="center" vertical="center" shrinkToFit="1"/>
    </xf>
    <xf numFmtId="164" fontId="3" fillId="0" borderId="0" xfId="0" applyNumberFormat="1" applyFont="1" applyAlignment="1" applyProtection="1">
      <alignment horizontal="center" vertical="center" shrinkToFit="1"/>
      <protection locked="0"/>
    </xf>
    <xf numFmtId="4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 wrapText="1" shrinkToFit="1"/>
    </xf>
    <xf numFmtId="165" fontId="3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shrinkToFit="1"/>
    </xf>
    <xf numFmtId="164" fontId="5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6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 vertical="top" shrinkToFit="1"/>
    </xf>
    <xf numFmtId="4" fontId="5" fillId="0" borderId="0" xfId="0" applyNumberFormat="1" applyFont="1" applyAlignment="1">
      <alignment horizontal="left" vertical="top"/>
    </xf>
    <xf numFmtId="49" fontId="7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 applyProtection="1">
      <alignment horizontal="left"/>
      <protection locked="0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 shrinkToFit="1"/>
    </xf>
    <xf numFmtId="0" fontId="1" fillId="7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 shrinkToFit="1"/>
    </xf>
    <xf numFmtId="0" fontId="10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166688</xdr:rowOff>
    </xdr:from>
    <xdr:to>
      <xdr:col>6</xdr:col>
      <xdr:colOff>0</xdr:colOff>
      <xdr:row>25</xdr:row>
      <xdr:rowOff>2107406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8" r="7933"/>
        <a:stretch>
          <a:fillRect/>
        </a:stretch>
      </xdr:blipFill>
      <xdr:spPr>
        <a:xfrm>
          <a:off x="12798425" y="46648370"/>
          <a:ext cx="2070100" cy="194056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6</xdr:col>
      <xdr:colOff>0</xdr:colOff>
      <xdr:row>34</xdr:row>
      <xdr:rowOff>47625</xdr:rowOff>
    </xdr:from>
    <xdr:to>
      <xdr:col>6</xdr:col>
      <xdr:colOff>0</xdr:colOff>
      <xdr:row>34</xdr:row>
      <xdr:rowOff>2095500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5095" y="68437125"/>
          <a:ext cx="2043430" cy="20478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6</xdr:col>
      <xdr:colOff>0</xdr:colOff>
      <xdr:row>33</xdr:row>
      <xdr:rowOff>185719</xdr:rowOff>
    </xdr:from>
    <xdr:to>
      <xdr:col>6</xdr:col>
      <xdr:colOff>0</xdr:colOff>
      <xdr:row>33</xdr:row>
      <xdr:rowOff>1978115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1600" y="66384170"/>
          <a:ext cx="2066925" cy="179260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6</xdr:col>
      <xdr:colOff>0</xdr:colOff>
      <xdr:row>32</xdr:row>
      <xdr:rowOff>130968</xdr:rowOff>
    </xdr:from>
    <xdr:to>
      <xdr:col>6</xdr:col>
      <xdr:colOff>0</xdr:colOff>
      <xdr:row>32</xdr:row>
      <xdr:rowOff>2143087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7635" y="64138810"/>
          <a:ext cx="2040890" cy="201168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6</xdr:col>
      <xdr:colOff>0</xdr:colOff>
      <xdr:row>6</xdr:row>
      <xdr:rowOff>283367</xdr:rowOff>
    </xdr:from>
    <xdr:to>
      <xdr:col>6</xdr:col>
      <xdr:colOff>0</xdr:colOff>
      <xdr:row>6</xdr:row>
      <xdr:rowOff>1997867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446" b="8524"/>
        <a:stretch>
          <a:fillRect/>
        </a:stretch>
      </xdr:blipFill>
      <xdr:spPr>
        <a:xfrm>
          <a:off x="12825095" y="7331710"/>
          <a:ext cx="2043430" cy="17145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6</xdr:col>
      <xdr:colOff>0</xdr:colOff>
      <xdr:row>31</xdr:row>
      <xdr:rowOff>202406</xdr:rowOff>
    </xdr:from>
    <xdr:to>
      <xdr:col>6</xdr:col>
      <xdr:colOff>0</xdr:colOff>
      <xdr:row>31</xdr:row>
      <xdr:rowOff>1988345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5095" y="62019180"/>
          <a:ext cx="2043430" cy="178625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6</xdr:col>
      <xdr:colOff>0</xdr:colOff>
      <xdr:row>9</xdr:row>
      <xdr:rowOff>393730</xdr:rowOff>
    </xdr:from>
    <xdr:to>
      <xdr:col>6</xdr:col>
      <xdr:colOff>0</xdr:colOff>
      <xdr:row>9</xdr:row>
      <xdr:rowOff>1784528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6520" y="14014450"/>
          <a:ext cx="2072005" cy="13906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6</xdr:col>
      <xdr:colOff>0</xdr:colOff>
      <xdr:row>7</xdr:row>
      <xdr:rowOff>462787</xdr:rowOff>
    </xdr:from>
    <xdr:to>
      <xdr:col>6</xdr:col>
      <xdr:colOff>0</xdr:colOff>
      <xdr:row>7</xdr:row>
      <xdr:rowOff>1853585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6045" y="9701530"/>
          <a:ext cx="2062480" cy="139128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6</xdr:col>
      <xdr:colOff>0</xdr:colOff>
      <xdr:row>8</xdr:row>
      <xdr:rowOff>412784</xdr:rowOff>
    </xdr:from>
    <xdr:to>
      <xdr:col>6</xdr:col>
      <xdr:colOff>0</xdr:colOff>
      <xdr:row>8</xdr:row>
      <xdr:rowOff>1803582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7945" y="11842750"/>
          <a:ext cx="2100580" cy="13906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6</xdr:col>
      <xdr:colOff>0</xdr:colOff>
      <xdr:row>2</xdr:row>
      <xdr:rowOff>414339</xdr:rowOff>
    </xdr:from>
    <xdr:to>
      <xdr:col>6</xdr:col>
      <xdr:colOff>0</xdr:colOff>
      <xdr:row>2</xdr:row>
      <xdr:rowOff>1822783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3345" y="890270"/>
          <a:ext cx="2075180" cy="140843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6</xdr:col>
      <xdr:colOff>0</xdr:colOff>
      <xdr:row>36</xdr:row>
      <xdr:rowOff>64278</xdr:rowOff>
    </xdr:from>
    <xdr:to>
      <xdr:col>6</xdr:col>
      <xdr:colOff>0</xdr:colOff>
      <xdr:row>36</xdr:row>
      <xdr:rowOff>2152652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1915" y="72835135"/>
          <a:ext cx="2086610" cy="208851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161925</xdr:rowOff>
    </xdr:from>
    <xdr:to>
      <xdr:col>7</xdr:col>
      <xdr:colOff>752474</xdr:colOff>
      <xdr:row>17</xdr:row>
      <xdr:rowOff>123825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1762125"/>
          <a:ext cx="6076949" cy="1676400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VE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28575</xdr:colOff>
      <xdr:row>17</xdr:row>
      <xdr:rowOff>142876</xdr:rowOff>
    </xdr:from>
    <xdr:to>
      <xdr:col>7</xdr:col>
      <xdr:colOff>752474</xdr:colOff>
      <xdr:row>19</xdr:row>
      <xdr:rowOff>66676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8575" y="3457575"/>
          <a:ext cx="5714365" cy="304800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VE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19049</xdr:colOff>
      <xdr:row>31</xdr:row>
      <xdr:rowOff>47624</xdr:rowOff>
    </xdr:from>
    <xdr:to>
      <xdr:col>7</xdr:col>
      <xdr:colOff>733425</xdr:colOff>
      <xdr:row>34</xdr:row>
      <xdr:rowOff>123823</xdr:rowOff>
    </xdr:to>
    <xdr:sp macro="" textlink="">
      <xdr:nvSpPr>
        <xdr:cNvPr id="8" name="Rectángulo redondead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9049" y="8651874"/>
          <a:ext cx="5699126" cy="647699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VE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444499</xdr:colOff>
      <xdr:row>3</xdr:row>
      <xdr:rowOff>60677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E115A9A-5B16-487A-B758-907CD2BFC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2666" cy="6321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8</xdr:row>
      <xdr:rowOff>133350</xdr:rowOff>
    </xdr:from>
    <xdr:to>
      <xdr:col>7</xdr:col>
      <xdr:colOff>742950</xdr:colOff>
      <xdr:row>17</xdr:row>
      <xdr:rowOff>95250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8575" y="1733550"/>
          <a:ext cx="5705475" cy="1676400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VE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28575</xdr:colOff>
      <xdr:row>17</xdr:row>
      <xdr:rowOff>142876</xdr:rowOff>
    </xdr:from>
    <xdr:to>
      <xdr:col>7</xdr:col>
      <xdr:colOff>752474</xdr:colOff>
      <xdr:row>19</xdr:row>
      <xdr:rowOff>66676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8575" y="3457575"/>
          <a:ext cx="5714365" cy="304800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VE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19049</xdr:colOff>
      <xdr:row>31</xdr:row>
      <xdr:rowOff>95249</xdr:rowOff>
    </xdr:from>
    <xdr:to>
      <xdr:col>7</xdr:col>
      <xdr:colOff>733425</xdr:colOff>
      <xdr:row>34</xdr:row>
      <xdr:rowOff>171448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415" y="8695690"/>
          <a:ext cx="5706110" cy="647700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VE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444499</xdr:colOff>
      <xdr:row>3</xdr:row>
      <xdr:rowOff>60677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C54BD40-03EB-46BE-E3CE-145E4B8C7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2666" cy="6321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161925</xdr:rowOff>
    </xdr:from>
    <xdr:to>
      <xdr:col>9</xdr:col>
      <xdr:colOff>752474</xdr:colOff>
      <xdr:row>17</xdr:row>
      <xdr:rowOff>123825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F2EA135E-BBCA-4A24-AC05-BC08A0F50043}"/>
            </a:ext>
          </a:extLst>
        </xdr:cNvPr>
        <xdr:cNvSpPr/>
      </xdr:nvSpPr>
      <xdr:spPr>
        <a:xfrm>
          <a:off x="38100" y="1762125"/>
          <a:ext cx="6076949" cy="1676400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VE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28575</xdr:colOff>
      <xdr:row>17</xdr:row>
      <xdr:rowOff>142876</xdr:rowOff>
    </xdr:from>
    <xdr:to>
      <xdr:col>9</xdr:col>
      <xdr:colOff>752474</xdr:colOff>
      <xdr:row>19</xdr:row>
      <xdr:rowOff>66676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E2C0B7A0-A248-4650-99CE-C8F1541E2A57}"/>
            </a:ext>
          </a:extLst>
        </xdr:cNvPr>
        <xdr:cNvSpPr/>
      </xdr:nvSpPr>
      <xdr:spPr>
        <a:xfrm>
          <a:off x="28575" y="3455459"/>
          <a:ext cx="6163732" cy="579967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VE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19049</xdr:colOff>
      <xdr:row>32</xdr:row>
      <xdr:rowOff>1058</xdr:rowOff>
    </xdr:from>
    <xdr:to>
      <xdr:col>9</xdr:col>
      <xdr:colOff>733425</xdr:colOff>
      <xdr:row>34</xdr:row>
      <xdr:rowOff>42334</xdr:rowOff>
    </xdr:to>
    <xdr:sp macro="" textlink="">
      <xdr:nvSpPr>
        <xdr:cNvPr id="4" name="Rectángulo redondeado 7">
          <a:extLst>
            <a:ext uri="{FF2B5EF4-FFF2-40B4-BE49-F238E27FC236}">
              <a16:creationId xmlns:a16="http://schemas.microsoft.com/office/drawing/2014/main" id="{74D579C4-E4B2-40F1-AA6E-A9733E530D3B}"/>
            </a:ext>
          </a:extLst>
        </xdr:cNvPr>
        <xdr:cNvSpPr/>
      </xdr:nvSpPr>
      <xdr:spPr>
        <a:xfrm>
          <a:off x="19049" y="9060391"/>
          <a:ext cx="6164793" cy="422276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VE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444499</xdr:colOff>
      <xdr:row>3</xdr:row>
      <xdr:rowOff>60677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3C641DD-B732-477F-BDED-C62675343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6899" cy="632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51"/>
  <sheetViews>
    <sheetView showGridLines="0" showRuler="0" topLeftCell="A49" zoomScale="80" zoomScaleNormal="80" zoomScalePageLayoutView="70" workbookViewId="0">
      <selection activeCell="D52" sqref="D52"/>
    </sheetView>
  </sheetViews>
  <sheetFormatPr baseColWidth="10" defaultColWidth="32.85546875" defaultRowHeight="75.75" customHeight="1"/>
  <cols>
    <col min="1" max="1" width="4.5703125" style="24" customWidth="1"/>
    <col min="2" max="2" width="10.5703125" style="24" customWidth="1"/>
    <col min="3" max="3" width="8.85546875" style="25" customWidth="1"/>
    <col min="4" max="4" width="32.85546875" style="24"/>
    <col min="5" max="5" width="35.5703125" style="24" customWidth="1"/>
    <col min="6" max="6" width="8.85546875" style="26" customWidth="1"/>
    <col min="7" max="16384" width="32.85546875" style="24"/>
  </cols>
  <sheetData>
    <row r="1" spans="1:6" ht="75.75" customHeight="1">
      <c r="A1" s="27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9" t="s">
        <v>219</v>
      </c>
    </row>
    <row r="2" spans="1:6" ht="75.75" customHeight="1">
      <c r="A2" s="28" t="s">
        <v>5</v>
      </c>
      <c r="B2" s="30" t="s">
        <v>6</v>
      </c>
      <c r="C2" s="37" t="s">
        <v>7</v>
      </c>
      <c r="D2" s="36" t="s">
        <v>216</v>
      </c>
      <c r="E2" s="36" t="s">
        <v>217</v>
      </c>
      <c r="F2" s="34"/>
    </row>
    <row r="3" spans="1:6" ht="75.75" customHeight="1">
      <c r="A3" s="28" t="s">
        <v>8</v>
      </c>
      <c r="B3" s="30" t="s">
        <v>9</v>
      </c>
      <c r="C3" s="37" t="s">
        <v>10</v>
      </c>
      <c r="D3" s="35" t="s">
        <v>215</v>
      </c>
      <c r="E3" s="36" t="s">
        <v>215</v>
      </c>
      <c r="F3" s="34"/>
    </row>
    <row r="4" spans="1:6" ht="75.75" customHeight="1">
      <c r="A4" s="28" t="s">
        <v>11</v>
      </c>
      <c r="B4" s="30" t="s">
        <v>12</v>
      </c>
      <c r="C4" s="37" t="s">
        <v>13</v>
      </c>
      <c r="D4" s="35" t="s">
        <v>214</v>
      </c>
      <c r="E4" s="35" t="s">
        <v>214</v>
      </c>
      <c r="F4" s="34"/>
    </row>
    <row r="5" spans="1:6" ht="75.75" customHeight="1">
      <c r="A5" s="28" t="s">
        <v>14</v>
      </c>
      <c r="B5" s="30" t="s">
        <v>15</v>
      </c>
      <c r="C5" s="37" t="s">
        <v>16</v>
      </c>
      <c r="D5" s="35" t="s">
        <v>218</v>
      </c>
      <c r="E5" s="35" t="s">
        <v>218</v>
      </c>
      <c r="F5" s="34"/>
    </row>
    <row r="6" spans="1:6" ht="75.75" customHeight="1">
      <c r="A6" s="28" t="s">
        <v>18</v>
      </c>
      <c r="B6" s="30" t="s">
        <v>19</v>
      </c>
      <c r="C6" s="37" t="s">
        <v>20</v>
      </c>
      <c r="D6" s="32" t="s">
        <v>237</v>
      </c>
      <c r="E6" s="32" t="s">
        <v>237</v>
      </c>
      <c r="F6" s="34"/>
    </row>
    <row r="7" spans="1:6" ht="75.75" customHeight="1">
      <c r="A7" s="28" t="s">
        <v>22</v>
      </c>
      <c r="B7" s="30" t="s">
        <v>23</v>
      </c>
      <c r="C7" s="37" t="s">
        <v>24</v>
      </c>
      <c r="D7" s="32" t="s">
        <v>17</v>
      </c>
      <c r="E7" s="30" t="s">
        <v>17</v>
      </c>
      <c r="F7" s="34"/>
    </row>
    <row r="8" spans="1:6" ht="75.75" customHeight="1">
      <c r="A8" s="28" t="s">
        <v>26</v>
      </c>
      <c r="B8" s="30" t="s">
        <v>27</v>
      </c>
      <c r="C8" s="37" t="s">
        <v>28</v>
      </c>
      <c r="D8" s="32" t="s">
        <v>21</v>
      </c>
      <c r="E8" s="32" t="s">
        <v>21</v>
      </c>
      <c r="F8" s="34"/>
    </row>
    <row r="9" spans="1:6" ht="75.75" customHeight="1">
      <c r="A9" s="28" t="s">
        <v>30</v>
      </c>
      <c r="B9" s="30" t="s">
        <v>31</v>
      </c>
      <c r="C9" s="37" t="s">
        <v>32</v>
      </c>
      <c r="D9" s="32" t="s">
        <v>25</v>
      </c>
      <c r="E9" s="32" t="s">
        <v>25</v>
      </c>
      <c r="F9" s="34"/>
    </row>
    <row r="10" spans="1:6" ht="75.75" customHeight="1">
      <c r="A10" s="28" t="s">
        <v>34</v>
      </c>
      <c r="B10" s="30" t="s">
        <v>35</v>
      </c>
      <c r="C10" s="37" t="s">
        <v>36</v>
      </c>
      <c r="D10" s="32" t="s">
        <v>29</v>
      </c>
      <c r="E10" s="32" t="s">
        <v>29</v>
      </c>
      <c r="F10" s="34"/>
    </row>
    <row r="11" spans="1:6" ht="75.75" customHeight="1">
      <c r="A11" s="28" t="s">
        <v>38</v>
      </c>
      <c r="B11" s="30" t="s">
        <v>39</v>
      </c>
      <c r="C11" s="37" t="s">
        <v>40</v>
      </c>
      <c r="D11" s="30" t="s">
        <v>33</v>
      </c>
      <c r="E11" s="30" t="s">
        <v>33</v>
      </c>
      <c r="F11" s="34"/>
    </row>
    <row r="12" spans="1:6" ht="75.75" customHeight="1">
      <c r="A12" s="28" t="s">
        <v>42</v>
      </c>
      <c r="B12" s="30" t="s">
        <v>43</v>
      </c>
      <c r="C12" s="37" t="s">
        <v>44</v>
      </c>
      <c r="D12" s="32" t="s">
        <v>37</v>
      </c>
      <c r="E12" s="30" t="s">
        <v>37</v>
      </c>
      <c r="F12" s="34"/>
    </row>
    <row r="13" spans="1:6" ht="75.75" customHeight="1">
      <c r="A13" s="28" t="s">
        <v>47</v>
      </c>
      <c r="B13" s="30" t="s">
        <v>48</v>
      </c>
      <c r="C13" s="37" t="s">
        <v>49</v>
      </c>
      <c r="D13" s="32" t="s">
        <v>41</v>
      </c>
      <c r="E13" s="30" t="s">
        <v>41</v>
      </c>
      <c r="F13" s="34"/>
    </row>
    <row r="14" spans="1:6" ht="75.75" customHeight="1">
      <c r="A14" s="28" t="s">
        <v>51</v>
      </c>
      <c r="B14" s="30" t="s">
        <v>52</v>
      </c>
      <c r="C14" s="37" t="s">
        <v>53</v>
      </c>
      <c r="D14" s="35" t="s">
        <v>45</v>
      </c>
      <c r="E14" s="30" t="s">
        <v>46</v>
      </c>
      <c r="F14" s="34">
        <v>110.58</v>
      </c>
    </row>
    <row r="15" spans="1:6" ht="75.75" customHeight="1">
      <c r="A15" s="28" t="s">
        <v>54</v>
      </c>
      <c r="B15" s="30" t="s">
        <v>55</v>
      </c>
      <c r="C15" s="37" t="s">
        <v>56</v>
      </c>
      <c r="D15" s="30" t="s">
        <v>238</v>
      </c>
      <c r="E15" s="30" t="s">
        <v>238</v>
      </c>
      <c r="F15" s="34">
        <v>90</v>
      </c>
    </row>
    <row r="16" spans="1:6" ht="75.75" customHeight="1">
      <c r="A16" s="28" t="s">
        <v>57</v>
      </c>
      <c r="B16" s="30" t="s">
        <v>58</v>
      </c>
      <c r="C16" s="37" t="s">
        <v>59</v>
      </c>
      <c r="D16" s="32" t="s">
        <v>50</v>
      </c>
      <c r="E16" s="30" t="s">
        <v>50</v>
      </c>
      <c r="F16" s="34">
        <v>40</v>
      </c>
    </row>
    <row r="17" spans="1:6" ht="75.75" customHeight="1">
      <c r="A17" s="28" t="s">
        <v>61</v>
      </c>
      <c r="B17" s="30" t="s">
        <v>62</v>
      </c>
      <c r="C17" s="37" t="s">
        <v>63</v>
      </c>
      <c r="D17" s="32" t="s">
        <v>240</v>
      </c>
      <c r="E17" s="32" t="s">
        <v>240</v>
      </c>
      <c r="F17" s="34">
        <v>60</v>
      </c>
    </row>
    <row r="18" spans="1:6" ht="75.75" customHeight="1">
      <c r="A18" s="28" t="s">
        <v>65</v>
      </c>
      <c r="B18" s="30" t="s">
        <v>66</v>
      </c>
      <c r="C18" s="37" t="s">
        <v>67</v>
      </c>
      <c r="D18" s="30" t="s">
        <v>239</v>
      </c>
      <c r="E18" s="30" t="s">
        <v>239</v>
      </c>
      <c r="F18" s="34">
        <v>10</v>
      </c>
    </row>
    <row r="19" spans="1:6" ht="75.75" customHeight="1">
      <c r="A19" s="28" t="s">
        <v>69</v>
      </c>
      <c r="B19" s="30" t="s">
        <v>70</v>
      </c>
      <c r="C19" s="37" t="s">
        <v>71</v>
      </c>
      <c r="D19" s="32" t="s">
        <v>60</v>
      </c>
      <c r="E19" s="32" t="s">
        <v>60</v>
      </c>
      <c r="F19" s="34">
        <v>160</v>
      </c>
    </row>
    <row r="20" spans="1:6" ht="75.75" customHeight="1">
      <c r="A20" s="28" t="s">
        <v>73</v>
      </c>
      <c r="B20" s="30" t="s">
        <v>74</v>
      </c>
      <c r="C20" s="37" t="s">
        <v>75</v>
      </c>
      <c r="D20" s="32" t="s">
        <v>64</v>
      </c>
      <c r="E20" s="32" t="s">
        <v>64</v>
      </c>
      <c r="F20" s="34">
        <v>55</v>
      </c>
    </row>
    <row r="21" spans="1:6" ht="75.75" customHeight="1">
      <c r="A21" s="28" t="s">
        <v>76</v>
      </c>
      <c r="B21" s="30" t="s">
        <v>77</v>
      </c>
      <c r="C21" s="37" t="s">
        <v>78</v>
      </c>
      <c r="D21" s="32" t="s">
        <v>68</v>
      </c>
      <c r="E21" s="32" t="s">
        <v>68</v>
      </c>
      <c r="F21" s="34">
        <v>85</v>
      </c>
    </row>
    <row r="22" spans="1:6" ht="75.75" customHeight="1">
      <c r="A22" s="28" t="s">
        <v>80</v>
      </c>
      <c r="B22" s="30" t="s">
        <v>81</v>
      </c>
      <c r="C22" s="37" t="s">
        <v>82</v>
      </c>
      <c r="D22" s="32" t="s">
        <v>72</v>
      </c>
      <c r="E22" s="32" t="s">
        <v>72</v>
      </c>
      <c r="F22" s="34">
        <v>5</v>
      </c>
    </row>
    <row r="23" spans="1:6" ht="75.75" customHeight="1">
      <c r="A23" s="28" t="s">
        <v>84</v>
      </c>
      <c r="B23" s="30" t="s">
        <v>85</v>
      </c>
      <c r="C23" s="37" t="s">
        <v>86</v>
      </c>
      <c r="D23" s="32"/>
      <c r="E23" s="30"/>
      <c r="F23" s="34"/>
    </row>
    <row r="24" spans="1:6" ht="75.75" customHeight="1">
      <c r="A24" s="28" t="s">
        <v>88</v>
      </c>
      <c r="B24" s="30" t="s">
        <v>89</v>
      </c>
      <c r="C24" s="37" t="s">
        <v>90</v>
      </c>
      <c r="D24" s="30" t="s">
        <v>79</v>
      </c>
      <c r="E24" s="30" t="s">
        <v>79</v>
      </c>
      <c r="F24" s="34">
        <v>180</v>
      </c>
    </row>
    <row r="25" spans="1:6" ht="75.75" customHeight="1">
      <c r="A25" s="28" t="s">
        <v>92</v>
      </c>
      <c r="B25" s="30" t="s">
        <v>93</v>
      </c>
      <c r="C25" s="37" t="s">
        <v>94</v>
      </c>
      <c r="D25" s="30" t="s">
        <v>83</v>
      </c>
      <c r="E25" s="30" t="s">
        <v>83</v>
      </c>
      <c r="F25" s="34">
        <v>70</v>
      </c>
    </row>
    <row r="26" spans="1:6" ht="75.75" customHeight="1">
      <c r="A26" s="28" t="s">
        <v>96</v>
      </c>
      <c r="B26" s="30" t="s">
        <v>97</v>
      </c>
      <c r="C26" s="37" t="s">
        <v>98</v>
      </c>
      <c r="D26" s="32" t="s">
        <v>87</v>
      </c>
      <c r="E26" s="32" t="s">
        <v>87</v>
      </c>
      <c r="F26" s="34">
        <v>70</v>
      </c>
    </row>
    <row r="27" spans="1:6" ht="75.75" customHeight="1">
      <c r="A27" s="28" t="s">
        <v>100</v>
      </c>
      <c r="B27" s="30" t="s">
        <v>101</v>
      </c>
      <c r="C27" s="37" t="s">
        <v>102</v>
      </c>
      <c r="D27" s="32" t="s">
        <v>91</v>
      </c>
      <c r="E27" s="32" t="s">
        <v>91</v>
      </c>
      <c r="F27" s="34">
        <v>110.25</v>
      </c>
    </row>
    <row r="28" spans="1:6" ht="75.75" customHeight="1">
      <c r="A28" s="28" t="s">
        <v>104</v>
      </c>
      <c r="B28" s="30" t="s">
        <v>105</v>
      </c>
      <c r="C28" s="37" t="s">
        <v>106</v>
      </c>
      <c r="D28" s="32" t="s">
        <v>95</v>
      </c>
      <c r="E28" s="32" t="s">
        <v>95</v>
      </c>
      <c r="F28" s="34">
        <v>50</v>
      </c>
    </row>
    <row r="29" spans="1:6" ht="75.75" customHeight="1">
      <c r="A29" s="28" t="s">
        <v>108</v>
      </c>
      <c r="B29" s="30" t="s">
        <v>109</v>
      </c>
      <c r="C29" s="37" t="s">
        <v>110</v>
      </c>
      <c r="D29" s="32" t="s">
        <v>99</v>
      </c>
      <c r="E29" s="32" t="s">
        <v>99</v>
      </c>
      <c r="F29" s="34">
        <v>110</v>
      </c>
    </row>
    <row r="30" spans="1:6" ht="75.75" customHeight="1">
      <c r="A30" s="28" t="s">
        <v>111</v>
      </c>
      <c r="B30" s="30" t="s">
        <v>112</v>
      </c>
      <c r="C30" s="37" t="s">
        <v>113</v>
      </c>
      <c r="D30" s="32" t="s">
        <v>103</v>
      </c>
      <c r="E30" s="32" t="s">
        <v>103</v>
      </c>
      <c r="F30" s="34">
        <v>70</v>
      </c>
    </row>
    <row r="31" spans="1:6" ht="75.75" customHeight="1">
      <c r="A31" s="28" t="s">
        <v>115</v>
      </c>
      <c r="B31" s="30" t="s">
        <v>116</v>
      </c>
      <c r="C31" s="37" t="s">
        <v>117</v>
      </c>
      <c r="D31" s="33" t="s">
        <v>107</v>
      </c>
      <c r="E31" s="33" t="s">
        <v>107</v>
      </c>
      <c r="F31" s="34">
        <v>80</v>
      </c>
    </row>
    <row r="32" spans="1:6" ht="75.75" customHeight="1">
      <c r="A32" s="28" t="s">
        <v>119</v>
      </c>
      <c r="B32" s="30" t="s">
        <v>120</v>
      </c>
      <c r="C32" s="37" t="s">
        <v>121</v>
      </c>
      <c r="D32" s="30" t="s">
        <v>114</v>
      </c>
      <c r="E32" s="30" t="s">
        <v>114</v>
      </c>
      <c r="F32" s="34">
        <v>50</v>
      </c>
    </row>
    <row r="33" spans="1:6" ht="75.75" customHeight="1">
      <c r="A33" s="28" t="s">
        <v>123</v>
      </c>
      <c r="B33" s="30" t="s">
        <v>124</v>
      </c>
      <c r="C33" s="37" t="s">
        <v>125</v>
      </c>
      <c r="D33" s="35" t="s">
        <v>118</v>
      </c>
      <c r="E33" s="35" t="s">
        <v>118</v>
      </c>
      <c r="F33" s="34">
        <v>50</v>
      </c>
    </row>
    <row r="34" spans="1:6" ht="75.75" customHeight="1">
      <c r="A34" s="28" t="s">
        <v>127</v>
      </c>
      <c r="B34" s="30" t="s">
        <v>128</v>
      </c>
      <c r="C34" s="37" t="s">
        <v>129</v>
      </c>
      <c r="D34" s="35" t="s">
        <v>122</v>
      </c>
      <c r="E34" s="35" t="s">
        <v>122</v>
      </c>
      <c r="F34" s="34">
        <v>70</v>
      </c>
    </row>
    <row r="35" spans="1:6" ht="75.75" customHeight="1">
      <c r="A35" s="28" t="s">
        <v>132</v>
      </c>
      <c r="B35" s="30" t="s">
        <v>133</v>
      </c>
      <c r="C35" s="37" t="s">
        <v>134</v>
      </c>
      <c r="D35" s="35" t="s">
        <v>126</v>
      </c>
      <c r="E35" s="35" t="s">
        <v>126</v>
      </c>
      <c r="F35" s="34">
        <v>50</v>
      </c>
    </row>
    <row r="36" spans="1:6" ht="75.75" customHeight="1">
      <c r="A36" s="28" t="s">
        <v>136</v>
      </c>
      <c r="B36" s="30" t="s">
        <v>137</v>
      </c>
      <c r="C36" s="37" t="s">
        <v>138</v>
      </c>
      <c r="D36" s="32" t="s">
        <v>130</v>
      </c>
      <c r="E36" s="30" t="s">
        <v>131</v>
      </c>
      <c r="F36" s="34">
        <v>70</v>
      </c>
    </row>
    <row r="37" spans="1:6" ht="75.75" customHeight="1">
      <c r="A37" s="28" t="s">
        <v>140</v>
      </c>
      <c r="B37" s="30" t="s">
        <v>141</v>
      </c>
      <c r="C37" s="37" t="s">
        <v>142</v>
      </c>
      <c r="D37" s="32" t="s">
        <v>135</v>
      </c>
      <c r="E37" s="30" t="s">
        <v>135</v>
      </c>
      <c r="F37" s="34">
        <v>87.75</v>
      </c>
    </row>
    <row r="38" spans="1:6" ht="75.75" customHeight="1">
      <c r="A38" s="28" t="s">
        <v>143</v>
      </c>
      <c r="B38" s="30" t="s">
        <v>144</v>
      </c>
      <c r="C38" s="37" t="s">
        <v>145</v>
      </c>
      <c r="D38" s="32" t="s">
        <v>139</v>
      </c>
      <c r="E38" s="30" t="s">
        <v>139</v>
      </c>
      <c r="F38" s="34">
        <v>87.75</v>
      </c>
    </row>
    <row r="39" spans="1:6" ht="75.75" customHeight="1">
      <c r="A39" s="28" t="s">
        <v>147</v>
      </c>
      <c r="B39" s="32" t="s">
        <v>148</v>
      </c>
      <c r="C39" s="49" t="s">
        <v>149</v>
      </c>
      <c r="D39" s="32" t="s">
        <v>213</v>
      </c>
      <c r="E39" s="32" t="s">
        <v>213</v>
      </c>
      <c r="F39" s="34">
        <v>23.61</v>
      </c>
    </row>
    <row r="40" spans="1:6" ht="75.75" customHeight="1">
      <c r="A40" s="28" t="s">
        <v>151</v>
      </c>
      <c r="B40" s="30" t="s">
        <v>152</v>
      </c>
      <c r="C40" s="37" t="s">
        <v>153</v>
      </c>
      <c r="D40" s="32" t="s">
        <v>146</v>
      </c>
      <c r="E40" s="30" t="s">
        <v>146</v>
      </c>
      <c r="F40" s="34">
        <v>69.75</v>
      </c>
    </row>
    <row r="41" spans="1:6" ht="75.75" customHeight="1">
      <c r="A41" s="28" t="s">
        <v>154</v>
      </c>
      <c r="B41" s="30" t="s">
        <v>155</v>
      </c>
      <c r="C41" s="31" t="s">
        <v>156</v>
      </c>
      <c r="D41" s="32" t="s">
        <v>150</v>
      </c>
      <c r="E41" s="30" t="s">
        <v>150</v>
      </c>
      <c r="F41" s="34">
        <v>94.5</v>
      </c>
    </row>
    <row r="42" spans="1:6" ht="75.75" customHeight="1">
      <c r="A42" s="28" t="s">
        <v>157</v>
      </c>
      <c r="B42" s="30" t="s">
        <v>158</v>
      </c>
      <c r="C42" s="31" t="s">
        <v>159</v>
      </c>
      <c r="D42" s="30" t="s">
        <v>222</v>
      </c>
      <c r="E42" s="30" t="s">
        <v>223</v>
      </c>
      <c r="F42" s="34">
        <v>128.75</v>
      </c>
    </row>
    <row r="43" spans="1:6" ht="75.75" customHeight="1">
      <c r="A43" s="28" t="s">
        <v>160</v>
      </c>
      <c r="B43" s="30" t="s">
        <v>161</v>
      </c>
      <c r="C43" s="31" t="s">
        <v>162</v>
      </c>
      <c r="D43" s="30" t="s">
        <v>228</v>
      </c>
      <c r="E43" s="30" t="s">
        <v>228</v>
      </c>
      <c r="F43" s="34">
        <v>90</v>
      </c>
    </row>
    <row r="44" spans="1:6" ht="75.75" customHeight="1">
      <c r="A44" s="28" t="s">
        <v>163</v>
      </c>
      <c r="B44" s="30" t="s">
        <v>164</v>
      </c>
      <c r="C44" s="31" t="s">
        <v>165</v>
      </c>
      <c r="D44" s="30"/>
      <c r="E44" s="30"/>
      <c r="F44" s="34"/>
    </row>
    <row r="45" spans="1:6" ht="75.75" customHeight="1">
      <c r="A45" s="28" t="s">
        <v>166</v>
      </c>
      <c r="B45" s="30" t="s">
        <v>167</v>
      </c>
      <c r="C45" s="31" t="s">
        <v>168</v>
      </c>
      <c r="D45" s="30"/>
      <c r="E45" s="30"/>
      <c r="F45" s="34"/>
    </row>
    <row r="46" spans="1:6" ht="75.75" customHeight="1">
      <c r="A46" s="28" t="s">
        <v>169</v>
      </c>
      <c r="B46" s="30" t="s">
        <v>170</v>
      </c>
      <c r="C46" s="31" t="s">
        <v>171</v>
      </c>
      <c r="D46" s="30"/>
      <c r="E46" s="30"/>
      <c r="F46" s="34"/>
    </row>
    <row r="47" spans="1:6" ht="75.75" customHeight="1">
      <c r="A47" s="28" t="s">
        <v>172</v>
      </c>
      <c r="B47" s="30" t="s">
        <v>173</v>
      </c>
      <c r="C47" s="31" t="s">
        <v>174</v>
      </c>
      <c r="D47" s="30"/>
      <c r="E47" s="30"/>
      <c r="F47" s="34"/>
    </row>
    <row r="48" spans="1:6" ht="75.75" customHeight="1">
      <c r="A48" s="28" t="s">
        <v>175</v>
      </c>
      <c r="B48" s="30" t="s">
        <v>176</v>
      </c>
      <c r="C48" s="31" t="s">
        <v>177</v>
      </c>
      <c r="D48" s="30"/>
      <c r="E48" s="30"/>
      <c r="F48" s="34"/>
    </row>
    <row r="49" spans="1:6" ht="75.75" customHeight="1">
      <c r="A49" s="28" t="s">
        <v>178</v>
      </c>
      <c r="B49" s="30" t="s">
        <v>179</v>
      </c>
      <c r="C49" s="31" t="s">
        <v>180</v>
      </c>
      <c r="D49" s="30"/>
      <c r="E49" s="30"/>
      <c r="F49" s="34"/>
    </row>
    <row r="50" spans="1:6" ht="75.75" customHeight="1">
      <c r="A50" s="28" t="s">
        <v>181</v>
      </c>
      <c r="B50" s="30" t="s">
        <v>182</v>
      </c>
      <c r="C50" s="31" t="s">
        <v>183</v>
      </c>
      <c r="D50" s="30"/>
      <c r="E50" s="30"/>
      <c r="F50" s="34"/>
    </row>
    <row r="51" spans="1:6" ht="75.75" customHeight="1">
      <c r="A51" s="28" t="s">
        <v>184</v>
      </c>
      <c r="B51" s="30" t="s">
        <v>185</v>
      </c>
      <c r="C51" s="31" t="s">
        <v>186</v>
      </c>
      <c r="D51" s="30" t="s">
        <v>241</v>
      </c>
      <c r="E51" s="30" t="s">
        <v>242</v>
      </c>
      <c r="F51" s="34">
        <v>10</v>
      </c>
    </row>
  </sheetData>
  <autoFilter ref="D1:D51" xr:uid="{00000000-0009-0000-0000-000000000000}"/>
  <sortState xmlns:xlrd2="http://schemas.microsoft.com/office/spreadsheetml/2017/richdata2" ref="D2:L41">
    <sortCondition ref="D2"/>
  </sortState>
  <pageMargins left="0.11811023622047245" right="0.11811023622047245" top="0.19685039370078741" bottom="0.15748031496062992" header="0" footer="0"/>
  <pageSetup paperSize="9" scale="63" orientation="portrait" r:id="rId1"/>
  <ignoredErrors>
    <ignoredError sqref="C2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34"/>
  <sheetViews>
    <sheetView showGridLines="0" showRowColHeaders="0" showRuler="0" view="pageLayout" zoomScale="90" zoomScaleNormal="100" zoomScalePageLayoutView="90" workbookViewId="0">
      <selection activeCell="C10" sqref="C10:F10"/>
    </sheetView>
  </sheetViews>
  <sheetFormatPr baseColWidth="10" defaultColWidth="11.42578125" defaultRowHeight="15"/>
  <cols>
    <col min="1" max="1" width="2.140625" customWidth="1"/>
    <col min="2" max="2" width="8.140625" customWidth="1"/>
    <col min="4" max="4" width="18.28515625" customWidth="1"/>
    <col min="7" max="7" width="12" customWidth="1"/>
  </cols>
  <sheetData>
    <row r="1" spans="1:8">
      <c r="A1" s="57" t="s">
        <v>187</v>
      </c>
      <c r="B1" s="57"/>
      <c r="C1" s="57"/>
      <c r="D1" s="57"/>
      <c r="E1" s="57"/>
      <c r="F1" s="57"/>
      <c r="G1" s="57"/>
      <c r="H1" s="57"/>
    </row>
    <row r="2" spans="1:8">
      <c r="A2" s="57"/>
      <c r="B2" s="57"/>
      <c r="C2" s="57"/>
      <c r="D2" s="57"/>
      <c r="E2" s="57"/>
      <c r="F2" s="57"/>
      <c r="G2" s="57"/>
      <c r="H2" s="57"/>
    </row>
    <row r="3" spans="1:8">
      <c r="A3" s="57"/>
      <c r="B3" s="57"/>
      <c r="C3" s="57"/>
      <c r="D3" s="57"/>
      <c r="E3" s="57"/>
      <c r="F3" s="57"/>
      <c r="G3" s="57"/>
      <c r="H3" s="57"/>
    </row>
    <row r="5" spans="1:8" ht="21">
      <c r="B5" s="2" t="s">
        <v>220</v>
      </c>
    </row>
    <row r="6" spans="1:8">
      <c r="B6" s="3" t="s">
        <v>188</v>
      </c>
      <c r="C6" s="3"/>
    </row>
    <row r="7" spans="1:8">
      <c r="B7" s="3" t="s">
        <v>189</v>
      </c>
      <c r="C7" s="3"/>
    </row>
    <row r="8" spans="1:8">
      <c r="B8" s="3" t="s">
        <v>221</v>
      </c>
      <c r="C8" s="3"/>
    </row>
    <row r="10" spans="1:8">
      <c r="B10" s="4" t="s">
        <v>190</v>
      </c>
      <c r="C10" s="50"/>
      <c r="D10" s="50"/>
      <c r="E10" s="50"/>
      <c r="F10" s="50"/>
      <c r="G10" s="4" t="s">
        <v>191</v>
      </c>
      <c r="H10" s="5">
        <f ca="1">NOW()</f>
        <v>46280.587582060187</v>
      </c>
    </row>
    <row r="11" spans="1:8">
      <c r="B11" s="4"/>
      <c r="C11" s="3"/>
      <c r="D11" s="3"/>
      <c r="E11" s="3"/>
      <c r="F11" s="3"/>
      <c r="G11" s="6"/>
      <c r="H11" s="7"/>
    </row>
    <row r="12" spans="1:8">
      <c r="B12" s="4" t="s">
        <v>192</v>
      </c>
      <c r="C12" s="50"/>
      <c r="D12" s="50"/>
      <c r="E12" s="50"/>
      <c r="F12" s="50"/>
      <c r="G12" s="4" t="s">
        <v>193</v>
      </c>
      <c r="H12" s="8">
        <f ca="1">51437+H10+F34</f>
        <v>97717.587582060194</v>
      </c>
    </row>
    <row r="13" spans="1:8">
      <c r="B13" s="4"/>
      <c r="C13" s="3"/>
      <c r="D13" s="3"/>
      <c r="E13" s="3"/>
      <c r="F13" s="3"/>
      <c r="G13" s="6"/>
      <c r="H13" s="7"/>
    </row>
    <row r="14" spans="1:8">
      <c r="B14" s="4" t="s">
        <v>194</v>
      </c>
      <c r="C14" s="50"/>
      <c r="D14" s="50"/>
      <c r="E14" s="50"/>
      <c r="F14" s="50"/>
      <c r="G14" s="4" t="s">
        <v>195</v>
      </c>
      <c r="H14" s="7" t="s">
        <v>196</v>
      </c>
    </row>
    <row r="15" spans="1:8">
      <c r="B15" s="4"/>
      <c r="C15" s="3"/>
      <c r="D15" s="3"/>
      <c r="E15" s="3"/>
      <c r="F15" s="9"/>
      <c r="G15" s="6"/>
      <c r="H15" s="7"/>
    </row>
    <row r="16" spans="1:8">
      <c r="B16" s="4" t="s">
        <v>197</v>
      </c>
      <c r="C16" s="50"/>
      <c r="D16" s="50"/>
      <c r="E16" s="50"/>
      <c r="F16" s="50"/>
      <c r="G16" s="10" t="s">
        <v>198</v>
      </c>
      <c r="H16" s="11" t="s">
        <v>199</v>
      </c>
    </row>
    <row r="17" spans="2:8">
      <c r="G17" s="10" t="s">
        <v>224</v>
      </c>
      <c r="H17" s="11" t="s">
        <v>226</v>
      </c>
    </row>
    <row r="19" spans="2:8">
      <c r="B19" s="13" t="s">
        <v>1</v>
      </c>
      <c r="C19" s="13" t="s">
        <v>200</v>
      </c>
      <c r="D19" s="51" t="s">
        <v>4</v>
      </c>
      <c r="E19" s="51"/>
      <c r="F19" s="13" t="s">
        <v>201</v>
      </c>
      <c r="G19" s="13" t="s">
        <v>229</v>
      </c>
      <c r="H19" s="13" t="s">
        <v>202</v>
      </c>
    </row>
    <row r="21" spans="2:8" ht="33.75" customHeight="1">
      <c r="B21" s="14"/>
      <c r="C21" s="15" t="str">
        <f>IF(B21="","",IF(B21=INV!B2,INV!C2,IF(B21=INV!B3,INV!C3,IF(B21=INV!B4,INV!C4,IF(B21=INV!B5,INV!C5,IF(B21=INV!B6,INV!C6,IF(B21=INV!B7,INV!C7,IF(B21=INV!B8,INV!C8,IF(B21=INV!B9,INV!C9,IF(B21=INV!B10,INV!C10,IF(B21=INV!B11,INV!C11,IF(B21=INV!B12,INV!C12,IF(B21=INV!B13,INV!C13,IF(B21=INV!B14,INV!C14,IF(B21=INV!B15,INV!C15,IF(B21=INV!B16,INV!C16,IF(B21=INV!B17,INV!C17,IF(B21=INV!B18,INV!C18,IF(B21=INV!B19,INV!C19,IF(B21=INV!B20,INV!C20,IF(B21=INV!B21,INV!C21,IF(B21=INV!B22,INV!C22,IF(B21=INV!B23,INV!C23,IF(B21=INV!B24,INV!C24,IF(B21=INV!B25,INV!C25,IF(B21=INV!B26,INV!C26,IF(B21=INV!B27,INV!C27,IF(B21=INV!B28,INV!C28,IF(B21=INV!B29,INV!C29,IF(B21=INV!B30,INV!C30,IF(B21=INV!B31,INV!C31,IF(B21=INV!B32,INV!C322,IF(B21=INV!B33,INV!C33,IF(B21=INV!B34,INV!C34,IF(B21=INV!B35,INV!C35,IF(B21=INV!B36,INV!C36,IF(B21=INV!B37,INV!C37,IF(B21=INV!B38,INV!C38,IF(B21=INV!B39,INV!C39,IF(B21=INV!B40,INV!C40,IF(B21=INV!B41,INV!C41,IF(B21=INV!B42,INV!C42,IF(B21=INV!B43,INV!C43,IF(B21=INV!B44,INV!C44,IF(B21=INV!B45,INV!C45,IF(B21=INV!B46,INV!C46,IF(B21=INV!B47,INV!C47,IF(B21=INV!B48,INV!C48,IF(B21=INV!B49,INV!C49,IF(B21=INV!B50,INV!C50,IF(B21=INV!B51,INV!C51)))))))))))))))))))))))))))))))))))))))))))))))))))</f>
        <v/>
      </c>
      <c r="D21" s="52" t="str">
        <f>IF(C21="","",IF(C21=INV!C2,INV!D2,IF(C21=INV!C3,INV!D3,IF(C21=INV!C4,INV!D4,IF(C21=INV!C5,INV!D5,IF(C21=INV!C6,INV!D6,IF(C21=INV!C7,INV!D7,IF(C21=INV!C8,INV!D8,IF(C21=INV!C9,INV!D9,IF(C21=INV!C10,INV!D10,IF(C21=INV!C11,INV!D11,IF(C21=INV!C12,INV!D12,IF(C21=INV!C13,INV!D13,IF(C21=INV!C14,INV!D14,IF(C21=INV!C15,INV!D15,IF(C21=INV!C16,INV!D16,IF(C21=INV!C17,INV!D17,IF(C21=INV!C18,INV!D18,IF(C21=INV!C19,INV!D19,IF(C21=INV!C20,INV!D20,IF(C21=INV!C21,INV!D21,IF(C21=INV!C22,INV!D22,IF(C21=INV!C23,INV!D23,IF(C21=INV!C24,INV!D24,IF(C21=INV!C25,INV!D25,IF(C21=INV!C26,INV!D26,IF(C21=INV!C27,INV!D27,IF(C21=INV!C28,INV!D28,IF(C21=INV!C29,INV!D29,IF(C21=INV!C30,INV!D30,IF(C21=INV!C31,INV!D31,IF(C21=INV!C32,INV!D322,IF(C21=INV!C33,INV!D33,IF(C21=INV!C34,INV!D34,IF(C21=INV!C35,INV!D35,IF(C21=INV!C36,INV!D36,IF(C21=INV!C37,INV!D37,IF(C21=INV!C38,INV!D38,IF(C21=INV!C39,INV!D39,IF(C21=INV!C40,INV!D40,IF(C21=INV!C41,INV!D41,IF(C21=INV!C42,INV!D42,IF(C21=INV!C43,INV!D43,IF(C21=INV!C44,INV!D44,IF(C21=INV!C45,INV!D45,IF(C21=INV!C46,INV!D46,IF(C21=INV!C47,INV!D47,IF(C21=INV!C48,INV!D48,IF(C21=INV!C49,INV!D49,IF(C21=INV!C50,INV!D50,IF(C21=INV!C51,INV!D51)))))))))))))))))))))))))))))))))))))))))))))))))))</f>
        <v/>
      </c>
      <c r="E21" s="52"/>
      <c r="F21" s="16"/>
      <c r="G21" s="17" t="str">
        <f>IF(B21="","",IF(B21=INV!B2,INV!F2,IF(B21=INV!B3,INV!F3,IF(B21=INV!B4,INV!F4,IF(B21=INV!B5,INV!F5,IF(B21=INV!B6,INV!F6,IF(B21=INV!B7,INV!F7,IF(B21=INV!B8,INV!F8,IF(B21=INV!B9,INV!F9,IF(B21=INV!B10,INV!F10,IF(B21=INV!B11,INV!F11,IF(B21=INV!B12,INV!F12,IF(B21=INV!B13,INV!F13,IF(B21=INV!B14,INV!F14,IF(B21=INV!B15,INV!F15,IF(B21=INV!B16,INV!F16,IF(B21=INV!B17,INV!F17,IF(B21=INV!B18,INV!F18,IF(B21=INV!B19,INV!F19,IF(B21=INV!B20,INV!F20,IF(B21=INV!B21,INV!F21,IF(B21=INV!B22,INV!F22,IF(B21=INV!B23,INV!F23,IF(B21=INV!B24,INV!F24,IF(B21=INV!B25,INV!F25,IF(B21=INV!B26,INV!F26,IF(B21=INV!B27,INV!F27,IF(B21=INV!B28,INV!F28,IF(B21=INV!B29,INV!F29,IF(B21=INV!B30,INV!F30,IF(B21=INV!B31,INV!F31,IF(B21=INV!B32,INV!F32,IF(B21=INV!B33,INV!F33,IF(B21=INV!B34,INV!F34,IF(B21=INV!B35,INV!F35,IF(B21=INV!B36,INV!F36,IF(B21=INV!B37,INV!F37,IF(B21=INV!B38,INV!F38,IF(B21=INV!B39,INV!F39,IF(B21=INV!B40,INV!F40,IF(B21=INV!B41,INV!F41,IF(B21=INV!B42,INV!F42,IF(B21=INV!B43,INV!F43,IF(B21=INV!B44,INV!F44,IF(B21=INV!B45,INV!F45,IF(B21=INV!B46,INV!F46,IF(B21=INV!B47,INV!F47,IF(B21=INV!B48,INV!F48,IF(B21=INV!B49,INV!F49,IF(B21=INV!B51,INV!F51))))))))))))))))))))))))))))))))))))))))))))))))))</f>
        <v/>
      </c>
      <c r="H21" s="17" t="str">
        <f t="shared" ref="H21:H31" si="0">IF(F21="","",G21*F21)</f>
        <v/>
      </c>
    </row>
    <row r="22" spans="2:8" ht="33.75" customHeight="1">
      <c r="B22" s="14"/>
      <c r="C22" s="15" t="str">
        <f>IF(B22="","",IF(B22=INV!B2,INV!C2,IF(B22=INV!B3,INV!C3,IF(B22=INV!B4,INV!C4,IF(B22=INV!B5,INV!C5,IF(B22=INV!B6,INV!C6,IF(B22=INV!B7,INV!C7,IF(B22=INV!B8,INV!C8,IF(B22=INV!B9,INV!C9,IF(B22=INV!B10,INV!C10,IF(B22=INV!B11,INV!C11,IF(B22=INV!B12,INV!C12,IF(B22=INV!B13,INV!C13,IF(B22=INV!B14,INV!C14,IF(B22=INV!B15,INV!C15,IF(B22=INV!B16,INV!C16,IF(B22=INV!B17,INV!C17,IF(B22=INV!B18,INV!C18,IF(B22=INV!B19,INV!C19,IF(B22=INV!B20,INV!C20,IF(B22=INV!B21,INV!C21,IF(B22=INV!B22,INV!C22,IF(B22=INV!B23,INV!C23,IF(B22=INV!B24,INV!C24,IF(B22=INV!B25,INV!C25,IF(B22=INV!B26,INV!C26,IF(B22=INV!B27,INV!C27,IF(B22=INV!B28,INV!C28,IF(B22=INV!B29,INV!C29,IF(B22=INV!B30,INV!C30,IF(B22=INV!B31,INV!C31,IF(B22=INV!B32,INV!C32,IF(B22=INV!B33,INV!C323,IF(B22=INV!B34,INV!C34,IF(B22=INV!B35,INV!C35,IF(B22=INV!B36,INV!C36,IF(B22=INV!B37,INV!C37,IF(B22=INV!B38,INV!C38,IF(B22=INV!B39,INV!C39,IF(B22=INV!B40,INV!C40,IF(B22=INV!B41,INV!C41,IF(B22=INV!B42,INV!C42,IF(B22=INV!B43,INV!C43,IF(B22=INV!B44,INV!C44,IF(B22=INV!B45,INV!C45,IF(B22=INV!B46,INV!C46,IF(B22=INV!B47,INV!C47,IF(B22=INV!B48,INV!C48,IF(B22=INV!B49,INV!C49,IF(B22=INV!B50,INV!C50,IF(B22=INV!B51,INV!C51,IF(B22=INV!B52,INV!C52))))))))))))))))))))))))))))))))))))))))))))))))))))</f>
        <v/>
      </c>
      <c r="D22" s="52" t="str">
        <f>IF(C22="","",IF(C22=INV!C2,INV!D2,IF(C22=INV!C3,INV!D3,IF(C22=INV!C4,INV!D4,IF(C22=INV!C5,INV!D5,IF(C22=INV!C6,INV!D6,IF(C22=INV!C7,INV!D7,IF(C22=INV!C8,INV!D8,IF(C22=INV!C9,INV!D9,IF(C22=INV!C10,INV!D10,IF(C22=INV!C11,INV!D11,IF(C22=INV!C12,INV!D12,IF(C22=INV!C13,INV!D13,IF(C22=INV!C14,INV!D14,IF(C22=INV!C15,INV!D15,IF(C22=INV!C16,INV!D16,IF(C22=INV!C17,INV!D17,IF(C22=INV!C18,INV!D18,IF(C22=INV!C19,INV!D19,IF(C22=INV!C20,INV!D20,IF(C22=INV!C21,INV!D21,IF(C22=INV!C22,INV!D22,IF(C22=INV!C23,INV!D23,IF(C22=INV!C24,INV!D24,IF(C22=INV!C25,INV!D25,IF(C22=INV!C26,INV!D26,IF(C22=INV!C27,INV!D27,IF(C22=INV!C28,INV!D28,IF(C22=INV!C29,INV!D29,IF(C22=INV!C30,INV!D30,IF(C22=INV!C31,INV!D31,IF(C22=INV!C32,INV!D32,IF(C22=INV!C33,INV!D323,IF(C22=INV!C34,INV!D34,IF(C22=INV!C35,INV!D35,IF(C22=INV!C36,INV!D36,IF(C22=INV!C37,INV!D37,IF(C22=INV!C38,INV!D38,IF(C22=INV!C39,INV!D39,IF(C22=INV!C40,INV!D40,IF(C22=INV!C41,INV!D41,IF(C22=INV!C42,INV!D42,IF(C22=INV!C43,INV!D43,IF(C22=INV!C44,INV!D44,IF(C22=INV!C45,INV!D45,IF(C22=INV!C46,INV!D46,IF(C22=INV!C47,INV!D47,IF(C22=INV!C48,INV!D48,IF(C22=INV!C49,INV!D49,IF(C22=INV!C50,INV!D50,IF(C22=INV!C51,INV!D51,IF(C22=INV!C52,INV!D52))))))))))))))))))))))))))))))))))))))))))))))))))))</f>
        <v/>
      </c>
      <c r="E22" s="52"/>
      <c r="F22" s="16"/>
      <c r="G22" s="17" t="str">
        <f>IF(B22="","",IF(B22=INV!B2,INV!F2,IF(B22=INV!B3,INV!F3,IF(B22=INV!B4,INV!F4,IF(B22=INV!B5,INV!F5,IF(B22=INV!B6,INV!F6,IF(B22=INV!B7,INV!F7,IF(B22=INV!B8,INV!F8,IF(B22=INV!B9,INV!F9,IF(B22=INV!B10,INV!F10,IF(B22=INV!B11,INV!F11,IF(B22=INV!B12,INV!F12,IF(B22=INV!B13,INV!F13,IF(B22=INV!B14,INV!F14,IF(B22=INV!B15,INV!F15,IF(B22=INV!B16,INV!F16,IF(B22=INV!B17,INV!F17,IF(B22=INV!B18,INV!F18,IF(B22=INV!B19,INV!F19,IF(B22=INV!B20,INV!F20,IF(B22=INV!B21,INV!F21,IF(B22=INV!B22,INV!F22,IF(B22=INV!B23,INV!F23,IF(B22=INV!B24,INV!F24,IF(B22=INV!B25,INV!F25,IF(B22=INV!B26,INV!F26,IF(B22=INV!B27,INV!F27,IF(B22=INV!B28,INV!F28,IF(B22=INV!B29,INV!F29,IF(B22=INV!B30,INV!F30,IF(B22=INV!B31,INV!F31,IF(B22=INV!B32,INV!F32,IF(B22=INV!B33,INV!F33,IF(B22=INV!B34,INV!F34,IF(B22=INV!B35,INV!F35,IF(B22=INV!B36,INV!F36,IF(B22=INV!B37,INV!F37,IF(B22=INV!B38,INV!F38,IF(B22=INV!B39,INV!F39,IF(B22=INV!B40,INV!F40,IF(B22=INV!B41,INV!F41,IF(B22=INV!B42,INV!F42,IF(B22=INV!B43,INV!F43,IF(B22=INV!B44,INV!F44,IF(B22=INV!B45,INV!F45,IF(B22=INV!B46,INV!F46,IF(B22=INV!B47,INV!F47,IF(B22=INV!B48,INV!F48,IF(B22=INV!B49,INV!F49,IF(B22=INV!B50,INV!F50,IF(B22=INV!B51,INV!F51)))))))))))))))))))))))))))))))))))))))))))))))))))</f>
        <v/>
      </c>
      <c r="H22" s="17" t="str">
        <f t="shared" si="0"/>
        <v/>
      </c>
    </row>
    <row r="23" spans="2:8" ht="33.75" customHeight="1">
      <c r="B23" s="14"/>
      <c r="C23" s="15" t="str">
        <f>IF(B23="","",IF(B23=INV!B2,INV!C2,IF(B23=INV!B3,INV!C3,IF(B23=INV!B4,INV!C4,IF(B23=INV!B5,INV!C5,IF(B23=INV!B6,INV!C6,IF(B23=INV!B7,INV!C7,IF(B23=INV!B8,INV!C8,IF(B23=INV!B9,INV!C9,IF(B23=INV!B10,INV!C10,IF(B23=INV!B11,INV!C11,IF(B23=INV!B12,INV!C12,IF(B23=INV!B13,INV!C13,IF(B23=INV!B14,INV!C14,IF(B23=INV!B15,INV!C15,IF(B23=INV!B16,INV!C16,IF(B23=INV!B17,INV!C17,IF(B23=INV!B18,INV!C18,IF(B23=INV!B19,INV!C19,IF(B23=INV!B20,INV!C20,IF(B23=INV!B21,INV!C21,IF(B23=INV!B22,INV!C22,IF(B23=INV!B23,INV!C23,IF(B23=INV!B24,INV!C24,IF(B23=INV!B25,INV!C25,IF(B23=INV!B26,INV!C26,IF(B23=INV!B27,INV!C27,IF(B23=INV!B28,INV!C28,IF(B23=INV!B29,INV!C29,IF(B23=INV!B30,INV!C30,IF(B23=INV!B31,INV!C31,IF(B23=INV!B32,INV!C32,IF(B23=INV!B33,INV!C33,IF(B23=INV!B34,INV!C324,IF(B23=INV!B35,INV!C35,IF(B23=INV!B36,INV!C36,IF(B23=INV!B37,INV!C37,IF(B23=INV!B38,INV!C38,IF(B23=INV!B39,INV!C39,IF(B23=INV!B40,INV!C40,IF(B23=INV!B41,INV!C41,IF(B23=INV!B42,INV!C42,IF(B23=INV!B43,INV!C43,IF(B23=INV!B44,INV!C44,IF(B23=INV!B45,INV!C45,IF(B23=INV!B46,INV!C46,IF(B23=INV!B47,INV!C47,IF(B23=INV!B48,INV!C48,IF(B23=INV!B49,INV!C49,IF(B23=INV!B50,INV!C50,IF(B23=INV!B51,INV!C51,IF(B23=INV!B52,INV!C52,IF(B23=INV!B53,INV!C53)))))))))))))))))))))))))))))))))))))))))))))))))))))</f>
        <v/>
      </c>
      <c r="D23" s="52" t="str">
        <f>IF(C23="","",IF(C23=INV!C2,INV!D2,IF(C23=INV!C3,INV!D3,IF(C23=INV!C4,INV!D4,IF(C23=INV!C5,INV!D5,IF(C23=INV!C6,INV!D6,IF(C23=INV!C7,INV!D7,IF(C23=INV!C8,INV!D8,IF(C23=INV!C9,INV!D9,IF(C23=INV!C10,INV!D10,IF(C23=INV!C11,INV!D11,IF(C23=INV!C12,INV!D12,IF(C23=INV!C13,INV!D13,IF(C23=INV!C14,INV!D14,IF(C23=INV!C15,INV!D15,IF(C23=INV!C16,INV!D16,IF(C23=INV!C17,INV!D17,IF(C23=INV!C18,INV!D18,IF(C23=INV!C19,INV!D19,IF(C23=INV!C20,INV!D20,IF(C23=INV!C21,INV!D21,IF(C23=INV!C22,INV!D22,IF(C23=INV!C23,INV!D23,IF(C23=INV!C24,INV!D24,IF(C23=INV!C25,INV!D25,IF(C23=INV!C26,INV!D26,IF(C23=INV!C27,INV!D27,IF(C23=INV!C28,INV!D28,IF(C23=INV!C29,INV!D29,IF(C23=INV!C30,INV!D30,IF(C23=INV!C31,INV!D31,IF(C23=INV!C32,INV!D32,IF(C23=INV!C33,INV!D33,IF(C23=INV!C34,INV!D324,IF(C23=INV!C35,INV!D35,IF(C23=INV!C36,INV!D36,IF(C23=INV!C37,INV!D37,IF(C23=INV!C38,INV!D38,IF(C23=INV!C39,INV!D39,IF(C23=INV!C40,INV!D40,IF(C23=INV!C41,INV!D41,IF(C23=INV!C42,INV!D42,IF(C23=INV!C43,INV!D43,IF(C23=INV!C44,INV!D44,IF(C23=INV!C45,INV!D45,IF(C23=INV!C46,INV!D46,IF(C23=INV!C47,INV!D47,IF(C23=INV!C48,INV!D48,IF(C23=INV!C49,INV!D49,IF(C23=INV!C50,INV!D50,IF(C23=INV!C51,INV!D51,IF(C23=INV!C52,INV!D52,IF(C23=INV!C53,INV!D53)))))))))))))))))))))))))))))))))))))))))))))))))))))</f>
        <v/>
      </c>
      <c r="E23" s="52"/>
      <c r="F23" s="16"/>
      <c r="G23" s="17" t="str">
        <f>IF(B23="","",IF(B23=INV!B2,INV!F2,IF(B23=INV!B3,INV!F3,IF(B23=INV!B4,INV!F4,IF(B23=INV!B5,INV!F5,IF(B23=INV!B6,INV!F6,IF(B23=INV!B7,INV!F7,IF(B23=INV!B8,INV!F8,IF(B23=INV!B9,INV!F9,IF(B23=INV!B10,INV!F10,IF(B23=INV!B11,INV!F11,IF(B23=INV!B12,INV!F12,IF(B23=INV!B13,INV!F13,IF(B23=INV!B14,INV!F14,IF(B23=INV!B15,INV!F15,IF(B23=INV!B16,INV!F16,IF(B23=INV!B17,INV!F17,IF(B23=INV!B18,INV!F18,IF(B23=INV!B19,INV!F19,IF(B23=INV!B20,INV!F20,IF(B23=INV!B21,INV!F21,IF(B23=INV!B22,INV!F22,IF(B23=INV!B23,INV!F23,IF(B23=INV!B24,INV!F24,IF(B23=INV!B25,INV!F25,IF(B23=INV!B26,INV!F26,IF(B23=INV!B27,INV!F27,IF(B23=INV!B28,INV!F28,IF(B23=INV!B29,INV!F29,IF(B23=INV!B30,INV!F30,IF(B23=INV!B31,INV!F31,IF(B23=INV!B32,INV!F32,IF(B23=INV!B33,INV!F33,IF(B23=INV!B34,INV!F34,IF(B23=INV!B35,INV!F35,IF(B23=INV!B36,INV!F36,IF(B23=INV!B37,INV!F37,IF(B23=INV!B38,INV!F38,IF(B23=INV!B39,INV!F39,IF(B23=INV!B40,INV!F40,IF(B23=INV!B41,INV!F41,IF(B23=INV!B42,INV!F42,IF(B23=INV!B43,INV!F43,IF(B23=INV!B44,INV!F44,IF(B23=INV!B45,INV!F45,IF(B23=INV!B46,INV!F46,IF(B23=INV!B47,INV!F47,IF(B23=INV!B48,INV!F48,IF(B23=INV!B49,INV!F49,IF(B23=INV!B50,INV!F50,IF(B23=INV!B51,INV!F51,IF(B23=INV!B53,INV!F53))))))))))))))))))))))))))))))))))))))))))))))))))))</f>
        <v/>
      </c>
      <c r="H23" s="17" t="str">
        <f t="shared" si="0"/>
        <v/>
      </c>
    </row>
    <row r="24" spans="2:8" ht="33.75" customHeight="1">
      <c r="B24" s="14"/>
      <c r="C24" s="15" t="str">
        <f>IF(B24="","",IF(B24=INV!B2,INV!C2,IF(B24=INV!B3,INV!C3,IF(B24=INV!B4,INV!C4,IF(B24=INV!B5,INV!C5,IF(B24=INV!B6,INV!C6,IF(B24=INV!B7,INV!C7,IF(B24=INV!B8,INV!C8,IF(B24=INV!B9,INV!C9,IF(B24=INV!B10,INV!C10,IF(B24=INV!B11,INV!C11,IF(B24=INV!B12,INV!C12,IF(B24=INV!B13,INV!C13,IF(B24=INV!B14,INV!C14,IF(B24=INV!B15,INV!C15,IF(B24=INV!B16,INV!C16,IF(B24=INV!B17,INV!C17,IF(B24=INV!B18,INV!C18,IF(B24=INV!B19,INV!C19,IF(B24=INV!B20,INV!C20,IF(B24=INV!B21,INV!C21,IF(B24=INV!B22,INV!C22,IF(B24=INV!B23,INV!C23,IF(B24=INV!B24,INV!C24,IF(B24=INV!B25,INV!C25,IF(B24=INV!B26,INV!C26,IF(B24=INV!B27,INV!C27,IF(B24=INV!B28,INV!C28,IF(B24=INV!B29,INV!C29,IF(B24=INV!B30,INV!C30,IF(B24=INV!B31,INV!C31,IF(B24=INV!B32,INV!C32,IF(B24=INV!B33,INV!C33,IF(B24=INV!B34,INV!C34,IF(B24=INV!B35,INV!C325,IF(B24=INV!B36,INV!C36,IF(B24=INV!B37,INV!C37,IF(B24=INV!B38,INV!C38,IF(B24=INV!B39,INV!C39,IF(B24=INV!B40,INV!C40,IF(B24=INV!B41,INV!C41,IF(B24=INV!B42,INV!C42,IF(B24=INV!B43,INV!C43,IF(B24=INV!B44,INV!C44,IF(B24=INV!B45,INV!C45,IF(B24=INV!B46,INV!C46,IF(B24=INV!B47,INV!C47,IF(B24=INV!B48,INV!C48,IF(B24=INV!B49,INV!C49,IF(B24=INV!B50,INV!C50,IF(B24=INV!B51,INV!C51,IF(B24=INV!B52,INV!C52,IF(B24=INV!B53,INV!C53,IF(B24=INV!B54,INV!C54))))))))))))))))))))))))))))))))))))))))))))))))))))))</f>
        <v/>
      </c>
      <c r="D24" s="52" t="str">
        <f>IF(C24="","",IF(C24=INV!C2,INV!D2,IF(C24=INV!C3,INV!D3,IF(C24=INV!C4,INV!D4,IF(C24=INV!C5,INV!D5,IF(C24=INV!C6,INV!D6,IF(C24=INV!C7,INV!D7,IF(C24=INV!C8,INV!D8,IF(C24=INV!C9,INV!D9,IF(C24=INV!C10,INV!D10,IF(C24=INV!C11,INV!D11,IF(C24=INV!C12,INV!D12,IF(C24=INV!C13,INV!D13,IF(C24=INV!C14,INV!D14,IF(C24=INV!C15,INV!D15,IF(C24=INV!C16,INV!D16,IF(C24=INV!C17,INV!D17,IF(C24=INV!C18,INV!D18,IF(C24=INV!C19,INV!D19,IF(C24=INV!C20,INV!D20,IF(C24=INV!C21,INV!D21,IF(C24=INV!C22,INV!D22,IF(C24=INV!C23,INV!D23,IF(C24=INV!C24,INV!D24,IF(C24=INV!C25,INV!D25,IF(C24=INV!C26,INV!D26,IF(C24=INV!C27,INV!D27,IF(C24=INV!C28,INV!D28,IF(C24=INV!C29,INV!D29,IF(C24=INV!C30,INV!D30,IF(C24=INV!C31,INV!D31,IF(C24=INV!C32,INV!D32,IF(C24=INV!C33,INV!D33,IF(C24=INV!C34,INV!D34,IF(C24=INV!C35,INV!D325,IF(C24=INV!C36,INV!D36,IF(C24=INV!C37,INV!D37,IF(C24=INV!C38,INV!D38,IF(C24=INV!C39,INV!D39,IF(C24=INV!C40,INV!D40,IF(C24=INV!C41,INV!D41,IF(C24=INV!C42,INV!D42,IF(C24=INV!C43,INV!D43,IF(C24=INV!C44,INV!D44,IF(C24=INV!C45,INV!D45,IF(C24=INV!C46,INV!D46,IF(C24=INV!C47,INV!D47,IF(C24=INV!C48,INV!D48,IF(C24=INV!C49,INV!D49,IF(C24=INV!C50,INV!D50,IF(C24=INV!C51,INV!D51,IF(C24=INV!C52,INV!D52,IF(C24=INV!C53,INV!D53,IF(C24=INV!C54,INV!D54))))))))))))))))))))))))))))))))))))))))))))))))))))))</f>
        <v/>
      </c>
      <c r="E24" s="52"/>
      <c r="F24" s="16"/>
      <c r="G24" s="17" t="str">
        <f>IF(B24="","",IF(B24=INV!B2,INV!F2,IF(B24=INV!B3,INV!F3,IF(B24=INV!B4,INV!F4,IF(B24=INV!B5,INV!F5,IF(B24=INV!B6,INV!F6,IF(B24=INV!B7,INV!F7,IF(B24=INV!B8,INV!F8,IF(B24=INV!B9,INV!F9,IF(B24=INV!B10,INV!F10,IF(B24=INV!B11,INV!F11,IF(B24=INV!B12,INV!F12,IF(B24=INV!B13,INV!F13,IF(B24=INV!B14,INV!F14,IF(B24=INV!B15,INV!F15,IF(B24=INV!B16,INV!F16,IF(B24=INV!B17,INV!F17,IF(B24=INV!B18,INV!F18,IF(B24=INV!B19,INV!F19,IF(B24=INV!B20,INV!F20,IF(B24=INV!B21,INV!F21,IF(B24=INV!B22,INV!F22,IF(B24=INV!B23,INV!F23,IF(B24=INV!B24,INV!F24,IF(B24=INV!B25,INV!F25,IF(B24=INV!B26,INV!F26,IF(B24=INV!B27,INV!F27,IF(B24=INV!B28,INV!F28,IF(B24=INV!B29,INV!F29,IF(B24=INV!B30,INV!F30,IF(B24=INV!B31,INV!F31,IF(B24=INV!B32,INV!F32,IF(B24=INV!B33,INV!F33,IF(B24=INV!B34,INV!F34,IF(B24=INV!B35,INV!F35,IF(B24=INV!B36,INV!F36,IF(B24=INV!B37,INV!F37,IF(B24=INV!B38,INV!F38,IF(B24=INV!B39,INV!F39,IF(B24=INV!B40,INV!F40,IF(B24=INV!B41,INV!F41,IF(B24=INV!B42,INV!F42,IF(B24=INV!B43,INV!F43,IF(B24=INV!B44,INV!F44,IF(B24=INV!B45,INV!F45,IF(B24=INV!B46,INV!F46,IF(B24=INV!B47,INV!F47,IF(B24=INV!B48,INV!F48,IF(B24=INV!B49,INV!F49,IF(B24=INV!B50,INV!F50,IF(B24=INV!B51,INV!F51,IF(B24=INV!B52,INV!F52,IF(B24=INV!B54,INV!F54)))))))))))))))))))))))))))))))))))))))))))))))))))))</f>
        <v/>
      </c>
      <c r="H24" s="17" t="str">
        <f t="shared" si="0"/>
        <v/>
      </c>
    </row>
    <row r="25" spans="2:8" ht="33.75" customHeight="1">
      <c r="B25" s="14"/>
      <c r="C25" s="15" t="str">
        <f>IF(B25="","",IF(B25=INV!B2,INV!C2,IF(B25=INV!B3,INV!C3,IF(B25=INV!B4,INV!C4,IF(B25=INV!B5,INV!C5,IF(B25=INV!B6,INV!C6,IF(B25=INV!B7,INV!C7,IF(B25=INV!B8,INV!C8,IF(B25=INV!B9,INV!C9,IF(B25=INV!B10,INV!C10,IF(B25=INV!B11,INV!C11,IF(B25=INV!B12,INV!C12,IF(B25=INV!B13,INV!C13,IF(B25=INV!B14,INV!C14,IF(B25=INV!B15,INV!C15,IF(B25=INV!B16,INV!C16,IF(B25=INV!B17,INV!C17,IF(B25=INV!B18,INV!C18,IF(B25=INV!B19,INV!C19,IF(B25=INV!B20,INV!C20,IF(B25=INV!B21,INV!C21,IF(B25=INV!B22,INV!C22,IF(B25=INV!B23,INV!C23,IF(B25=INV!B24,INV!C24,IF(B25=INV!B25,INV!C25,IF(B25=INV!B26,INV!C26,IF(B25=INV!B27,INV!C27,IF(B25=INV!B28,INV!C28,IF(B25=INV!B29,INV!C29,IF(B25=INV!B30,INV!C30,IF(B25=INV!B31,INV!C31,IF(B25=INV!B32,INV!C32,IF(B25=INV!B33,INV!C33,IF(B25=INV!B34,INV!C34,IF(B25=INV!B35,INV!C35,IF(B25=INV!B36,INV!C326,IF(B25=INV!B37,INV!C37,IF(B25=INV!B38,INV!C38,IF(B25=INV!B39,INV!C39,IF(B25=INV!B40,INV!C40,IF(B25=INV!B41,INV!C41,IF(B25=INV!B42,INV!C42,IF(B25=INV!B43,INV!C43,IF(B25=INV!B44,INV!C44,IF(B25=INV!B45,INV!C45,IF(B25=INV!B46,INV!C46,IF(B25=INV!B47,INV!C47,IF(B25=INV!B48,INV!C48,IF(B25=INV!B49,INV!C49,IF(B25=INV!B50,INV!C50,IF(B25=INV!B51,INV!C51,IF(B25=INV!B52,INV!C52,IF(B25=INV!B53,INV!C53,IF(B25=INV!B54,INV!C54,IF(B25=INV!B55,INV!C55)))))))))))))))))))))))))))))))))))))))))))))))))))))))</f>
        <v/>
      </c>
      <c r="D25" s="52" t="str">
        <f>IF(C25="","",IF(C25=INV!C2,INV!D2,IF(C25=INV!C3,INV!D3,IF(C25=INV!C4,INV!D4,IF(C25=INV!C5,INV!D5,IF(C25=INV!C6,INV!D6,IF(C25=INV!C7,INV!D7,IF(C25=INV!C8,INV!D8,IF(C25=INV!C9,INV!D9,IF(C25=INV!C10,INV!D10,IF(C25=INV!C11,INV!D11,IF(C25=INV!C12,INV!D12,IF(C25=INV!C13,INV!D13,IF(C25=INV!C14,INV!D14,IF(C25=INV!C15,INV!D15,IF(C25=INV!C16,INV!D16,IF(C25=INV!C17,INV!D17,IF(C25=INV!C18,INV!D18,IF(C25=INV!C19,INV!D19,IF(C25=INV!C20,INV!D20,IF(C25=INV!C21,INV!D21,IF(C25=INV!C22,INV!D22,IF(C25=INV!C23,INV!D23,IF(C25=INV!C24,INV!D24,IF(C25=INV!C25,INV!D25,IF(C25=INV!C26,INV!D26,IF(C25=INV!C27,INV!D27,IF(C25=INV!C28,INV!D28,IF(C25=INV!C29,INV!D29,IF(C25=INV!C30,INV!D30,IF(C25=INV!C31,INV!D31,IF(C25=INV!C32,INV!D32,IF(C25=INV!C33,INV!D33,IF(C25=INV!C34,INV!D34,IF(C25=INV!C35,INV!D35,IF(C25=INV!C36,INV!D326,IF(C25=INV!C37,INV!D37,IF(C25=INV!C38,INV!D38,IF(C25=INV!C39,INV!D39,IF(C25=INV!C40,INV!D40,IF(C25=INV!C41,INV!D41,IF(C25=INV!C42,INV!D42,IF(C25=INV!C43,INV!D43,IF(C25=INV!C44,INV!D44,IF(C25=INV!C45,INV!D45,IF(C25=INV!C46,INV!D46,IF(C25=INV!C47,INV!D47,IF(C25=INV!C48,INV!D48,IF(C25=INV!C49,INV!D49,IF(C25=INV!C50,INV!D50,IF(C25=INV!C51,INV!D51,IF(C25=INV!C52,INV!D52,IF(C25=INV!C53,INV!D53,IF(C25=INV!C54,INV!D54,IF(C25=INV!C55,INV!D55)))))))))))))))))))))))))))))))))))))))))))))))))))))))</f>
        <v/>
      </c>
      <c r="E25" s="52"/>
      <c r="F25" s="16"/>
      <c r="G25" s="17" t="str">
        <f>IF(B25="","",IF(B25=INV!B2,INV!F2,IF(B25=INV!B3,INV!F3,IF(B25=INV!B4,INV!F4,IF(B25=INV!B5,INV!F5,IF(B25=INV!B6,INV!F6,IF(B25=INV!B7,INV!F7,IF(B25=INV!B8,INV!F8,IF(B25=INV!B9,INV!F9,IF(B25=INV!B10,INV!F10,IF(B25=INV!B11,INV!F11,IF(B25=INV!B12,INV!F12,IF(B25=INV!B13,INV!F13,IF(B25=INV!B14,INV!F14,IF(B25=INV!B15,INV!F15,IF(B25=INV!B16,INV!F16,IF(B25=INV!B17,INV!F17,IF(B25=INV!B18,INV!F18,IF(B25=INV!B19,INV!F19,IF(B25=INV!B20,INV!F20,IF(B25=INV!B21,INV!F21,IF(B25=INV!B22,INV!F22,IF(B25=INV!B23,INV!F23,IF(B25=INV!B24,INV!F24,IF(B25=INV!B25,INV!F25,IF(B25=INV!B26,INV!F26,IF(B25=INV!B27,INV!F27,IF(B25=INV!B28,INV!F28,IF(B25=INV!B29,INV!F29,IF(B25=INV!B30,INV!F30,IF(B25=INV!B31,INV!F31,IF(B25=INV!B32,INV!F32,IF(B25=INV!B33,INV!F33,IF(B25=INV!B34,INV!F34,IF(B25=INV!B35,INV!F35,IF(B25=INV!B36,INV!F36,IF(B25=INV!B37,INV!F37,IF(B25=INV!B38,INV!F38,IF(B25=INV!B39,INV!F39,IF(B25=INV!B40,INV!F40,IF(B25=INV!B41,INV!F41,IF(B25=INV!B42,INV!F42,IF(B25=INV!B43,INV!F43,IF(B25=INV!B44,INV!F44,IF(B25=INV!B45,INV!F45,IF(B25=INV!B46,INV!F46,IF(B25=INV!B47,INV!F47,IF(B25=INV!B48,INV!F48,IF(B25=INV!B49,INV!F49,IF(B25=INV!B50,INV!F50,IF(B25=INV!B51,INV!F51,IF(B25=INV!B52,INV!F52,IF(B25=INV!B53,INV!F53,IF(B25=INV!B55,INV!F55))))))))))))))))))))))))))))))))))))))))))))))))))))))</f>
        <v/>
      </c>
      <c r="H25" s="17" t="str">
        <f t="shared" si="0"/>
        <v/>
      </c>
    </row>
    <row r="26" spans="2:8" ht="33.75" customHeight="1">
      <c r="B26" s="14"/>
      <c r="C26" s="15" t="str">
        <f>IF(B26="","",IF(B26=INV!B2,INV!C2,IF(B26=INV!B3,INV!C3,IF(B26=INV!B4,INV!C4,IF(B26=INV!B5,INV!C5,IF(B26=INV!B6,INV!C6,IF(B26=INV!B7,INV!C7,IF(B26=INV!B8,INV!C8,IF(B26=INV!B9,INV!C9,IF(B26=INV!B10,INV!C10,IF(B26=INV!B11,INV!C11,IF(B26=INV!B12,INV!C12,IF(B26=INV!B13,INV!C13,IF(B26=INV!B14,INV!C14,IF(B26=INV!B15,INV!C15,IF(B26=INV!B16,INV!C16,IF(B26=INV!B17,INV!C17,IF(B26=INV!B18,INV!C18,IF(B26=INV!B19,INV!C19,IF(B26=INV!B20,INV!C20,IF(B26=INV!B21,INV!C21,IF(B26=INV!B22,INV!C22,IF(B26=INV!B23,INV!C23,IF(B26=INV!B24,INV!C24,IF(B26=INV!B25,INV!C25,IF(B26=INV!B26,INV!C26,IF(B26=INV!B27,INV!C27,IF(B26=INV!B28,INV!C28,IF(B26=INV!B29,INV!C29,IF(B26=INV!B30,INV!C30,IF(B26=INV!B31,INV!C31,IF(B26=INV!B32,INV!C32,IF(B26=INV!B33,INV!C33,IF(B26=INV!B34,INV!C34,IF(B26=INV!B35,INV!C35,IF(B26=INV!B36,INV!C36,IF(B26=INV!B37,INV!C327,IF(B26=INV!B38,INV!C38,IF(B26=INV!B39,INV!C39,IF(B26=INV!B40,INV!C40,IF(B26=INV!B41,INV!C41,IF(B26=INV!B42,INV!C42,IF(B26=INV!B43,INV!C43,IF(B26=INV!B44,INV!C44,IF(B26=INV!B45,INV!C45,IF(B26=INV!B46,INV!C46,IF(B26=INV!B47,INV!C47,IF(B26=INV!B48,INV!C48,IF(B26=INV!B49,INV!C49,IF(B26=INV!B50,INV!C50,IF(B26=INV!B51,INV!C51,IF(B26=INV!B52,INV!C52,IF(B26=INV!B53,INV!C53,IF(B26=INV!B54,INV!C54,IF(B26=INV!B55,INV!C55,IF(B26=INV!B56,INV!C56))))))))))))))))))))))))))))))))))))))))))))))))))))))))</f>
        <v/>
      </c>
      <c r="D26" s="52" t="str">
        <f>IF(C26="","",IF(C26=INV!C2,INV!D2,IF(C26=INV!C3,INV!D3,IF(C26=INV!C4,INV!D4,IF(C26=INV!C5,INV!D5,IF(C26=INV!C6,INV!D6,IF(C26=INV!C7,INV!D7,IF(C26=INV!C8,INV!D8,IF(C26=INV!C9,INV!D9,IF(C26=INV!C10,INV!D10,IF(C26=INV!C11,INV!D11,IF(C26=INV!C12,INV!D12,IF(C26=INV!C13,INV!D13,IF(C26=INV!C14,INV!D14,IF(C26=INV!C15,INV!D15,IF(C26=INV!C16,INV!D16,IF(C26=INV!C17,INV!D17,IF(C26=INV!C18,INV!D18,IF(C26=INV!C19,INV!D19,IF(C26=INV!C20,INV!D20,IF(C26=INV!C21,INV!D21,IF(C26=INV!C22,INV!D22,IF(C26=INV!C23,INV!D23,IF(C26=INV!C24,INV!D24,IF(C26=INV!C25,INV!D25,IF(C26=INV!C26,INV!D26,IF(C26=INV!C27,INV!D27,IF(C26=INV!C28,INV!D28,IF(C26=INV!C29,INV!D29,IF(C26=INV!C30,INV!D30,IF(C26=INV!C31,INV!D31,IF(C26=INV!C32,INV!D32,IF(C26=INV!C33,INV!D33,IF(C26=INV!C34,INV!D34,IF(C26=INV!C35,INV!D35,IF(C26=INV!C36,INV!D36,IF(C26=INV!C37,INV!D327,IF(C26=INV!C38,INV!D38,IF(C26=INV!C39,INV!D39,IF(C26=INV!C40,INV!D40,IF(C26=INV!C41,INV!D41,IF(C26=INV!C42,INV!D42,IF(C26=INV!C43,INV!D43,IF(C26=INV!C44,INV!D44,IF(C26=INV!C45,INV!D45,IF(C26=INV!C46,INV!D46,IF(C26=INV!C47,INV!D47,IF(C26=INV!C48,INV!D48,IF(C26=INV!C49,INV!D49,IF(C26=INV!C50,INV!D50,IF(C26=INV!C51,INV!D51,IF(C26=INV!C52,INV!D52,IF(C26=INV!C53,INV!D53,IF(C26=INV!C54,INV!D54,IF(C26=INV!C55,INV!D55,IF(C26=INV!C56,INV!D56))))))))))))))))))))))))))))))))))))))))))))))))))))))))</f>
        <v/>
      </c>
      <c r="E26" s="52"/>
      <c r="F26" s="16"/>
      <c r="G26" s="17" t="str">
        <f>IF(B26="","",IF(B26=INV!B2,INV!F2,IF(B26=INV!B3,INV!F3,IF(B26=INV!B4,INV!F4,IF(B26=INV!B5,INV!F5,IF(B26=INV!B6,INV!F6,IF(B26=INV!B7,INV!F7,IF(B26=INV!B8,INV!F8,IF(B26=INV!B9,INV!F9,IF(B26=INV!B10,INV!F10,IF(B26=INV!B11,INV!F11,IF(B26=INV!B12,INV!F12,IF(B26=INV!B13,INV!F13,IF(B26=INV!B14,INV!F14,IF(B26=INV!B15,INV!F15,IF(B26=INV!B16,INV!F16,IF(B26=INV!B17,INV!F17,IF(B26=INV!B18,INV!F18,IF(B26=INV!B19,INV!F19,IF(B26=INV!B20,INV!F20,IF(B26=INV!B21,INV!F21,IF(B26=INV!B22,INV!F22,IF(B26=INV!B23,INV!F23,IF(B26=INV!B24,INV!F24,IF(B26=INV!B25,INV!F25,IF(B26=INV!B26,INV!F26,IF(B26=INV!B27,INV!F27,IF(B26=INV!B28,INV!F28,IF(B26=INV!B29,INV!F29,IF(B26=INV!B30,INV!F30,IF(B26=INV!B31,INV!F31,IF(B26=INV!B32,INV!F32,IF(B26=INV!B33,INV!F33,IF(B26=INV!B34,INV!F34,IF(B26=INV!B35,INV!F35,IF(B26=INV!B36,INV!F36,IF(B26=INV!B37,INV!F37,IF(B26=INV!B38,INV!F38,IF(B26=INV!B39,INV!F39,IF(B26=INV!B40,INV!F40,IF(B26=INV!B41,INV!F41,IF(B26=INV!B42,INV!F42,IF(B26=INV!B43,INV!F43,IF(B26=INV!B44,INV!F44,IF(B26=INV!B45,INV!F45,IF(B26=INV!B46,INV!F46,IF(B26=INV!B47,INV!F47,IF(B26=INV!B48,INV!F48,IF(B26=INV!B49,INV!F49,IF(B26=INV!B50,INV!F50,IF(B26=INV!B51,INV!F51,IF(B26=INV!B52,INV!F52,IF(B26=INV!B53,INV!F53,IF(B26=INV!B54,INV!F54,IF(B26=INV!B56,INV!F56)))))))))))))))))))))))))))))))))))))))))))))))))))))))</f>
        <v/>
      </c>
      <c r="H26" s="17" t="str">
        <f t="shared" si="0"/>
        <v/>
      </c>
    </row>
    <row r="27" spans="2:8" ht="33.75" customHeight="1">
      <c r="B27" s="14"/>
      <c r="C27" s="15" t="str">
        <f>IF(B27="","",IF(B27=INV!B2,INV!C2,IF(B27=INV!B3,INV!C3,IF(B27=INV!B4,INV!C4,IF(B27=INV!B5,INV!C5,IF(B27=INV!B6,INV!C6,IF(B27=INV!B7,INV!C7,IF(B27=INV!B8,INV!C8,IF(B27=INV!B9,INV!C9,IF(B27=INV!B10,INV!C10,IF(B27=INV!B11,INV!C11,IF(B27=INV!B12,INV!C12,IF(B27=INV!B13,INV!C13,IF(B27=INV!B14,INV!C14,IF(B27=INV!B15,INV!C15,IF(B27=INV!B16,INV!C16,IF(B27=INV!B17,INV!C17,IF(B27=INV!B18,INV!C18,IF(B27=INV!B19,INV!C19,IF(B27=INV!B20,INV!C20,IF(B27=INV!B21,INV!C21,IF(B27=INV!B22,INV!C22,IF(B27=INV!B23,INV!C23,IF(B27=INV!B24,INV!C24,IF(B27=INV!B25,INV!C25,IF(B27=INV!B26,INV!C26,IF(B27=INV!B27,INV!C27,IF(B27=INV!B28,INV!C28,IF(B27=INV!B29,INV!C29,IF(B27=INV!B30,INV!C30,IF(B27=INV!B31,INV!C31,IF(B27=INV!B32,INV!C32,IF(B27=INV!B33,INV!C33,IF(B27=INV!B34,INV!C34,IF(B27=INV!B35,INV!C35,IF(B27=INV!B36,INV!C36,IF(B27=INV!B37,INV!C37,IF(B27=INV!B38,INV!C328,IF(B27=INV!B39,INV!C39,IF(B27=INV!B40,INV!C40,IF(B27=INV!B41,INV!C41,IF(B27=INV!B42,INV!C42,IF(B27=INV!B43,INV!C43,IF(B27=INV!B44,INV!C44,IF(B27=INV!B45,INV!C45,IF(B27=INV!B46,INV!C46,IF(B27=INV!B47,INV!C47,IF(B27=INV!B48,INV!C48,IF(B27=INV!B49,INV!C49,IF(B27=INV!B50,INV!C50,IF(B27=INV!B51,INV!C51,IF(B27=INV!B52,INV!C52,IF(B27=INV!B53,INV!C53,IF(B27=INV!B54,INV!C54,IF(B27=INV!B55,INV!C55,IF(B27=INV!B56,INV!C56,IF(B27=INV!B57,INV!C57)))))))))))))))))))))))))))))))))))))))))))))))))))))))))</f>
        <v/>
      </c>
      <c r="D27" s="52" t="str">
        <f>IF(C27="","",IF(C27=INV!C2,INV!D2,IF(C27=INV!C3,INV!D3,IF(C27=INV!C4,INV!D4,IF(C27=INV!C5,INV!D5,IF(C27=INV!C6,INV!D6,IF(C27=INV!C7,INV!D7,IF(C27=INV!C8,INV!D8,IF(C27=INV!C9,INV!D9,IF(C27=INV!C10,INV!D10,IF(C27=INV!C11,INV!D11,IF(C27=INV!C12,INV!D12,IF(C27=INV!C13,INV!D13,IF(C27=INV!C14,INV!D14,IF(C27=INV!C15,INV!D15,IF(C27=INV!C16,INV!D16,IF(C27=INV!C17,INV!D17,IF(C27=INV!C18,INV!D18,IF(C27=INV!C19,INV!D19,IF(C27=INV!C20,INV!D20,IF(C27=INV!C21,INV!D21,IF(C27=INV!C22,INV!D22,IF(C27=INV!C23,INV!D23,IF(C27=INV!C24,INV!D24,IF(C27=INV!C25,INV!D25,IF(C27=INV!C26,INV!D26,IF(C27=INV!C27,INV!D27,IF(C27=INV!C28,INV!D28,IF(C27=INV!C29,INV!D29,IF(C27=INV!C30,INV!D30,IF(C27=INV!C31,INV!D31,IF(C27=INV!C32,INV!D32,IF(C27=INV!C33,INV!D33,IF(C27=INV!C34,INV!D34,IF(C27=INV!C35,INV!D35,IF(C27=INV!C36,INV!D36,IF(C27=INV!C37,INV!D37,IF(C27=INV!C38,INV!D328,IF(C27=INV!C39,INV!D39,IF(C27=INV!C40,INV!D40,IF(C27=INV!C41,INV!D41,IF(C27=INV!C42,INV!D42,IF(C27=INV!C43,INV!D43,IF(C27=INV!C44,INV!D44,IF(C27=INV!C45,INV!D45,IF(C27=INV!C46,INV!D46,IF(C27=INV!C47,INV!D47,IF(C27=INV!C48,INV!D48,IF(C27=INV!C49,INV!D49,IF(C27=INV!C50,INV!D50,IF(C27=INV!C51,INV!D51,IF(C27=INV!C52,INV!D52,IF(C27=INV!C53,INV!D53,IF(C27=INV!C54,INV!D54,IF(C27=INV!C55,INV!D55,IF(C27=INV!C56,INV!D56,IF(C27=INV!C57,INV!D57)))))))))))))))))))))))))))))))))))))))))))))))))))))))))</f>
        <v/>
      </c>
      <c r="E27" s="52"/>
      <c r="F27" s="16"/>
      <c r="G27" s="17" t="str">
        <f>IF(B27="","",IF(B27=INV!B2,INV!F2,IF(B27=INV!B3,INV!F3,IF(B27=INV!B4,INV!F4,IF(B27=INV!B5,INV!F5,IF(B27=INV!B6,INV!F6,IF(B27=INV!B7,INV!F7,IF(B27=INV!B8,INV!F8,IF(B27=INV!B9,INV!F9,IF(B27=INV!B10,INV!F10,IF(B27=INV!B11,INV!F11,IF(B27=INV!B12,INV!F12,IF(B27=INV!B13,INV!F13,IF(B27=INV!B14,INV!F14,IF(B27=INV!B15,INV!F15,IF(B27=INV!B16,INV!F16,IF(B27=INV!B17,INV!F17,IF(B27=INV!B18,INV!F18,IF(B27=INV!B19,INV!F19,IF(B27=INV!B20,INV!F20,IF(B27=INV!B21,INV!F21,IF(B27=INV!B22,INV!F22,IF(B27=INV!B23,INV!F23,IF(B27=INV!B24,INV!F24,IF(B27=INV!B25,INV!F25,IF(B27=INV!B26,INV!F26,IF(B27=INV!B27,INV!F27,IF(B27=INV!B28,INV!F28,IF(B27=INV!B29,INV!F29,IF(B27=INV!B30,INV!F30,IF(B27=INV!B31,INV!F31,IF(B27=INV!B32,INV!F32,IF(B27=INV!B33,INV!F33,IF(B27=INV!B34,INV!F34,IF(B27=INV!B35,INV!F35,IF(B27=INV!B36,INV!F36,IF(B27=INV!B37,INV!F37,IF(B27=INV!B38,INV!F38,IF(B27=INV!B39,INV!F39,IF(B27=INV!B40,INV!F40,IF(B27=INV!B41,INV!F41,IF(B27=INV!B42,INV!F42,IF(B27=INV!B43,INV!F43,IF(B27=INV!B44,INV!F44,IF(B27=INV!B45,INV!F45,IF(B27=INV!B46,INV!F46,IF(B27=INV!B47,INV!F47,IF(B27=INV!B48,INV!F48,IF(B27=INV!B49,INV!F49,IF(B27=INV!B50,INV!F50,IF(B27=INV!B51,INV!F51,IF(B27=INV!B52,INV!F52,IF(B27=INV!B53,INV!F53,IF(B27=INV!B54,INV!F54,IF(B27=INV!B55,INV!F55,IF(B27=INV!B57,INV!F57))))))))))))))))))))))))))))))))))))))))))))))))))))))))</f>
        <v/>
      </c>
      <c r="H27" s="17" t="str">
        <f t="shared" si="0"/>
        <v/>
      </c>
    </row>
    <row r="28" spans="2:8" ht="33.75" customHeight="1">
      <c r="B28" s="14"/>
      <c r="C28" s="15" t="str">
        <f>IF(B28="","",IF(B28=INV!B2,INV!C2,IF(B28=INV!B3,INV!C3,IF(B28=INV!B4,INV!C4,IF(B28=INV!B5,INV!C5,IF(B28=INV!B6,INV!C6,IF(B28=INV!B7,INV!C7,IF(B28=INV!B8,INV!C8,IF(B28=INV!B9,INV!C9,IF(B28=INV!B10,INV!C10,IF(B28=INV!B11,INV!C11,IF(B28=INV!B12,INV!C12,IF(B28=INV!B13,INV!C13,IF(B28=INV!B14,INV!C14,IF(B28=INV!B15,INV!C15,IF(B28=INV!B16,INV!C16,IF(B28=INV!B17,INV!C17,IF(B28=INV!B18,INV!C18,IF(B28=INV!B19,INV!C19,IF(B28=INV!B20,INV!C20,IF(B28=INV!B21,INV!C21,IF(B28=INV!B22,INV!C22,IF(B28=INV!B23,INV!C23,IF(B28=INV!B24,INV!C24,IF(B28=INV!B25,INV!C25,IF(B28=INV!B26,INV!C26,IF(B28=INV!B27,INV!C27,IF(B28=INV!B28,INV!C28,IF(B28=INV!B29,INV!C29,IF(B28=INV!B30,INV!C30,IF(B28=INV!B31,INV!C31,IF(B28=INV!B32,INV!C32,IF(B28=INV!B33,INV!C33,IF(B28=INV!B34,INV!C34,IF(B28=INV!B35,INV!C35,IF(B28=INV!B36,INV!C36,IF(B28=INV!B37,INV!C37,IF(B28=INV!B38,INV!C38,IF(B28=INV!B39,INV!C329,IF(B28=INV!B40,INV!C40,IF(B28=INV!B41,INV!C41,IF(B28=INV!B42,INV!C42,IF(B28=INV!B43,INV!C43,IF(B28=INV!B44,INV!C44,IF(B28=INV!B45,INV!C45,IF(B28=INV!B46,INV!C46,IF(B28=INV!B47,INV!C47,IF(B28=INV!B48,INV!C48,IF(B28=INV!B49,INV!C49,IF(B28=INV!B50,INV!C50,IF(B28=INV!B51,INV!C51,IF(B28=INV!B52,INV!C52,IF(B28=INV!B53,INV!C53,IF(B28=INV!B54,INV!C54,IF(B28=INV!B55,INV!C55,IF(B28=INV!B56,INV!C56,IF(B28=INV!B57,INV!C57,IF(B28=INV!B58,INV!C58))))))))))))))))))))))))))))))))))))))))))))))))))))))))))</f>
        <v/>
      </c>
      <c r="D28" s="52" t="str">
        <f>IF(C28="","",IF(C28=INV!C2,INV!D2,IF(C28=INV!C3,INV!D3,IF(C28=INV!C4,INV!D4,IF(C28=INV!C5,INV!D5,IF(C28=INV!C6,INV!D6,IF(C28=INV!C7,INV!D7,IF(C28=INV!C8,INV!D8,IF(C28=INV!C9,INV!D9,IF(C28=INV!C10,INV!D10,IF(C28=INV!C11,INV!D11,IF(C28=INV!C12,INV!D12,IF(C28=INV!C13,INV!D13,IF(C28=INV!C14,INV!D14,IF(C28=INV!C15,INV!D15,IF(C28=INV!C16,INV!D16,IF(C28=INV!C17,INV!D17,IF(C28=INV!C18,INV!D18,IF(C28=INV!C19,INV!D19,IF(C28=INV!C20,INV!D20,IF(C28=INV!C21,INV!D21,IF(C28=INV!C22,INV!D22,IF(C28=INV!C23,INV!D23,IF(C28=INV!C24,INV!D24,IF(C28=INV!C25,INV!D25,IF(C28=INV!C26,INV!D26,IF(C28=INV!C27,INV!D27,IF(C28=INV!C28,INV!D28,IF(C28=INV!C29,INV!D29,IF(C28=INV!C30,INV!D30,IF(C28=INV!C31,INV!D31,IF(C28=INV!C32,INV!D32,IF(C28=INV!C33,INV!D33,IF(C28=INV!C34,INV!D34,IF(C28=INV!C35,INV!D35,IF(C28=INV!C36,INV!D36,IF(C28=INV!C37,INV!D37,IF(C28=INV!C38,INV!D38,IF(C28=INV!C39,INV!D329,IF(C28=INV!C40,INV!D40,IF(C28=INV!C41,INV!D41,IF(C28=INV!C42,INV!D42,IF(C28=INV!C43,INV!D43,IF(C28=INV!C44,INV!D44,IF(C28=INV!C45,INV!D45,IF(C28=INV!C46,INV!D46,IF(C28=INV!C47,INV!D47,IF(C28=INV!C48,INV!D48,IF(C28=INV!C49,INV!D49,IF(C28=INV!C50,INV!D50,IF(C28=INV!C51,INV!D51,IF(C28=INV!C52,INV!D52,IF(C28=INV!C53,INV!D53,IF(C28=INV!C54,INV!D54,IF(C28=INV!C55,INV!D55,IF(C28=INV!C56,INV!D56,IF(C28=INV!C57,INV!D57,IF(C28=INV!C58,INV!D58))))))))))))))))))))))))))))))))))))))))))))))))))))))))))</f>
        <v/>
      </c>
      <c r="E28" s="52"/>
      <c r="F28" s="16"/>
      <c r="G28" s="17" t="str">
        <f>IF(B28="","",IF(B28=INV!B2,INV!F2,IF(B28=INV!B3,INV!F3,IF(B28=INV!B4,INV!F4,IF(B28=INV!B5,INV!F5,IF(B28=INV!B6,INV!F6,IF(B28=INV!B7,INV!F7,IF(B28=INV!B8,INV!F8,IF(B28=INV!B9,INV!F9,IF(B28=INV!B10,INV!F10,IF(B28=INV!B11,INV!F11,IF(B28=INV!B12,INV!F12,IF(B28=INV!B13,INV!F13,IF(B28=INV!B14,INV!F14,IF(B28=INV!B15,INV!F15,IF(B28=INV!B16,INV!F16,IF(B28=INV!B17,INV!F17,IF(B28=INV!B18,INV!F18,IF(B28=INV!B19,INV!F19,IF(B28=INV!B20,INV!F20,IF(B28=INV!B21,INV!F21,IF(B28=INV!B22,INV!F22,IF(B28=INV!B23,INV!F23,IF(B28=INV!B24,INV!F24,IF(B28=INV!B25,INV!F25,IF(B28=INV!B26,INV!F26,IF(B28=INV!B27,INV!F27,IF(B28=INV!B28,INV!F28,IF(B28=INV!B29,INV!F29,IF(B28=INV!B30,INV!F30,IF(B28=INV!B31,INV!F31,IF(B28=INV!B32,INV!F32,IF(B28=INV!B33,INV!F33,IF(B28=INV!B34,INV!F34,IF(B28=INV!B35,INV!F35,IF(B28=INV!B36,INV!F36,IF(B28=INV!B37,INV!F37,IF(B28=INV!B38,INV!F38,IF(B28=INV!B39,INV!F39,IF(B28=INV!B40,INV!F40,IF(B28=INV!B41,INV!F41,IF(B28=INV!B42,INV!F42,IF(B28=INV!B43,INV!F43,IF(B28=INV!B44,INV!F44,IF(B28=INV!B45,INV!F45,IF(B28=INV!B46,INV!F46,IF(B28=INV!B47,INV!F47,IF(B28=INV!B48,INV!F48,IF(B28=INV!B49,INV!F49,IF(B28=INV!B50,INV!F50,IF(B28=INV!B51,INV!F51,IF(B28=INV!B52,INV!F52,IF(B28=INV!B53,INV!F53,IF(B28=INV!B54,INV!F54,IF(B28=INV!B55,INV!F55,IF(B28=INV!B56,INV!F56,IF(B28=INV!B58,INV!F58)))))))))))))))))))))))))))))))))))))))))))))))))))))))))</f>
        <v/>
      </c>
      <c r="H28" s="17" t="str">
        <f t="shared" si="0"/>
        <v/>
      </c>
    </row>
    <row r="29" spans="2:8" ht="33.75" customHeight="1">
      <c r="B29" s="14"/>
      <c r="C29" s="15" t="str">
        <f>IF(B29="","",IF(B29=INV!B2,INV!C2,IF(B29=INV!B3,INV!C3,IF(B29=INV!B4,INV!C4,IF(B29=INV!B5,INV!C5,IF(B29=INV!B6,INV!C6,IF(B29=INV!B7,INV!C7,IF(B29=INV!B8,INV!C8,IF(B29=INV!B9,INV!C9,IF(B29=INV!B10,INV!C10,IF(B29=INV!B11,INV!C11,IF(B29=INV!B12,INV!C12,IF(B29=INV!B13,INV!C13,IF(B29=INV!B14,INV!C14,IF(B29=INV!B15,INV!C15,IF(B29=INV!B16,INV!C16,IF(B29=INV!B17,INV!C17,IF(B29=INV!B18,INV!C18,IF(B29=INV!B19,INV!C19,IF(B29=INV!B20,INV!C20,IF(B29=INV!B21,INV!C21,IF(B29=INV!B22,INV!C22,IF(B29=INV!B23,INV!C23,IF(B29=INV!B24,INV!C24,IF(B29=INV!B25,INV!C25,IF(B29=INV!B26,INV!C26,IF(B29=INV!B27,INV!C27,IF(B29=INV!B28,INV!C28,IF(B29=INV!B29,INV!C29,IF(B29=INV!B30,INV!C30,IF(B29=INV!B31,INV!C31,IF(B29=INV!B32,INV!C32,IF(B29=INV!B33,INV!C33,IF(B29=INV!B34,INV!C34,IF(B29=INV!B35,INV!C35,IF(B29=INV!B36,INV!C36,IF(B29=INV!B37,INV!C37,IF(B29=INV!B38,INV!C38,IF(B29=INV!B39,INV!C39,IF(B29=INV!B40,INV!C330,IF(B29=INV!B41,INV!C41,IF(B29=INV!B42,INV!C42,IF(B29=INV!B43,INV!C43,IF(B29=INV!B44,INV!C44,IF(B29=INV!B45,INV!C45,IF(B29=INV!B46,INV!C46,IF(B29=INV!B47,INV!C47,IF(B29=INV!B48,INV!C48,IF(B29=INV!B49,INV!C49,IF(B29=INV!B50,INV!C50,IF(B29=INV!B51,INV!C51,IF(B29=INV!B52,INV!C52,IF(B29=INV!B53,INV!C53,IF(B29=INV!B54,INV!C54,IF(B29=INV!B55,INV!C55,IF(B29=INV!B56,INV!C56,IF(B29=INV!B57,INV!C57,IF(B29=INV!B58,INV!C58,IF(B29=INV!B59,INV!C59)))))))))))))))))))))))))))))))))))))))))))))))))))))))))))</f>
        <v/>
      </c>
      <c r="D29" s="52" t="str">
        <f>IF(C29="","",IF(C29=INV!C2,INV!D2,IF(C29=INV!C3,INV!D3,IF(C29=INV!C4,INV!D4,IF(C29=INV!C5,INV!D5,IF(C29=INV!C6,INV!D6,IF(C29=INV!C7,INV!D7,IF(C29=INV!C8,INV!D8,IF(C29=INV!C9,INV!D9,IF(C29=INV!C10,INV!D10,IF(C29=INV!C11,INV!D11,IF(C29=INV!C12,INV!D12,IF(C29=INV!C13,INV!D13,IF(C29=INV!C14,INV!D14,IF(C29=INV!C15,INV!D15,IF(C29=INV!C16,INV!D16,IF(C29=INV!C17,INV!D17,IF(C29=INV!C18,INV!D18,IF(C29=INV!C19,INV!D19,IF(C29=INV!C20,INV!D20,IF(C29=INV!C21,INV!D21,IF(C29=INV!C22,INV!D22,IF(C29=INV!C23,INV!D23,IF(C29=INV!C24,INV!D24,IF(C29=INV!C25,INV!D25,IF(C29=INV!C26,INV!D26,IF(C29=INV!C27,INV!D27,IF(C29=INV!C28,INV!D28,IF(C29=INV!C29,INV!D29,IF(C29=INV!C30,INV!D30,IF(C29=INV!C31,INV!D31,IF(C29=INV!C32,INV!D32,IF(C29=INV!C33,INV!D33,IF(C29=INV!C34,INV!D34,IF(C29=INV!C35,INV!D35,IF(C29=INV!C36,INV!D36,IF(C29=INV!C37,INV!D37,IF(C29=INV!C38,INV!D38,IF(C29=INV!C39,INV!D39,IF(C29=INV!C40,INV!D330,IF(C29=INV!C41,INV!D41,IF(C29=INV!C42,INV!D42,IF(C29=INV!C43,INV!D43,IF(C29=INV!C44,INV!D44,IF(C29=INV!C45,INV!D45,IF(C29=INV!C46,INV!D46,IF(C29=INV!C47,INV!D47,IF(C29=INV!C48,INV!D48,IF(C29=INV!C49,INV!D49,IF(C29=INV!C50,INV!D50,IF(C29=INV!C51,INV!D51,IF(C29=INV!C52,INV!D52,IF(C29=INV!C53,INV!D53,IF(C29=INV!C54,INV!D54,IF(C29=INV!C55,INV!D55,IF(C29=INV!C56,INV!D56,IF(C29=INV!C57,INV!D57,IF(C29=INV!C58,INV!D58,IF(C29=INV!C59,INV!D59)))))))))))))))))))))))))))))))))))))))))))))))))))))))))))</f>
        <v/>
      </c>
      <c r="E29" s="52"/>
      <c r="F29" s="16"/>
      <c r="G29" s="17" t="str">
        <f>IF(B29="","",IF(B29=INV!B2,INV!F2,IF(B29=INV!B3,INV!F3,IF(B29=INV!B4,INV!F4,IF(B29=INV!B5,INV!F5,IF(B29=INV!B6,INV!F6,IF(B29=INV!B7,INV!F7,IF(B29=INV!B8,INV!F8,IF(B29=INV!B9,INV!F9,IF(B29=INV!B10,INV!F10,IF(B29=INV!B11,INV!F11,IF(B29=INV!B12,INV!F12,IF(B29=INV!B13,INV!F13,IF(B29=INV!B14,INV!F14,IF(B29=INV!B15,INV!F15,IF(B29=INV!B16,INV!F16,IF(B29=INV!B17,INV!F17,IF(B29=INV!B18,INV!F18,IF(B29=INV!B19,INV!F19,IF(B29=INV!B20,INV!F20,IF(B29=INV!B21,INV!F21,IF(B29=INV!B22,INV!F22,IF(B29=INV!B23,INV!F23,IF(B29=INV!B24,INV!F24,IF(B29=INV!B25,INV!F25,IF(B29=INV!B26,INV!F26,IF(B29=INV!B27,INV!F27,IF(B29=INV!B28,INV!F28,IF(B29=INV!B29,INV!F29,IF(B29=INV!B30,INV!F30,IF(B29=INV!B31,INV!F31,IF(B29=INV!B32,INV!F32,IF(B29=INV!B33,INV!F33,IF(B29=INV!B34,INV!F34,IF(B29=INV!B35,INV!F35,IF(B29=INV!B36,INV!F36,IF(B29=INV!B37,INV!F37,IF(B29=INV!B38,INV!F38,IF(B29=INV!B39,INV!F39,IF(B29=INV!B40,INV!F40,IF(B29=INV!B41,INV!F41,IF(B29=INV!B42,INV!F42,IF(B29=INV!B43,INV!F43,IF(B29=INV!B44,INV!F44,IF(B29=INV!B45,INV!F45,IF(B29=INV!B46,INV!F46,IF(B29=INV!B47,INV!F47,IF(B29=INV!B48,INV!F48,IF(B29=INV!B49,INV!F49,IF(B29=INV!B50,INV!F50,IF(B29=INV!B51,INV!F51,IF(B29=INV!B52,INV!F52,IF(B29=INV!B53,INV!F53,IF(B29=INV!B54,INV!F54,IF(B29=INV!B55,INV!F55,IF(B29=INV!B56,INV!F56,IF(B29=INV!B57,INV!F57,IF(B29=INV!B59,INV!F59))))))))))))))))))))))))))))))))))))))))))))))))))))))))))</f>
        <v/>
      </c>
      <c r="H29" s="17" t="str">
        <f t="shared" si="0"/>
        <v/>
      </c>
    </row>
    <row r="30" spans="2:8" ht="33.75" customHeight="1">
      <c r="B30" s="14"/>
      <c r="C30" s="15" t="str">
        <f>IF(B30="","",IF(B30=INV!B2,INV!C2,IF(B30=INV!B3,INV!C3,IF(B30=INV!B4,INV!C4,IF(B30=INV!B5,INV!C5,IF(B30=INV!B6,INV!C6,IF(B30=INV!B7,INV!C7,IF(B30=INV!B8,INV!C8,IF(B30=INV!B9,INV!C9,IF(B30=INV!B10,INV!C10,IF(B30=INV!B11,INV!C11,IF(B30=INV!B12,INV!C12,IF(B30=INV!B13,INV!C13,IF(B30=INV!B14,INV!C14,IF(B30=INV!B15,INV!C15,IF(B30=INV!B16,INV!C16,IF(B30=INV!B17,INV!C17,IF(B30=INV!B18,INV!C18,IF(B30=INV!B19,INV!C19,IF(B30=INV!B20,INV!C20,IF(B30=INV!B21,INV!C21,IF(B30=INV!B22,INV!C22,IF(B30=INV!B23,INV!C23,IF(B30=INV!B24,INV!C24,IF(B30=INV!B25,INV!C25,IF(B30=INV!B26,INV!C26,IF(B30=INV!B27,INV!C27,IF(B30=INV!B28,INV!C28,IF(B30=INV!B29,INV!C29,IF(B30=INV!B30,INV!C30,IF(B30=INV!B31,INV!C31,IF(B30=INV!B32,INV!C32,IF(B30=INV!B33,INV!C33,IF(B30=INV!B34,INV!C34,IF(B30=INV!B35,INV!C35,IF(B30=INV!B36,INV!C36,IF(B30=INV!B37,INV!C37,IF(B30=INV!B38,INV!C38,IF(B30=INV!B39,INV!C39,IF(B30=INV!B40,INV!C40,IF(B30=INV!B41,INV!C331,IF(B30=INV!B42,INV!C42,IF(B30=INV!B43,INV!C43,IF(B30=INV!B44,INV!C44,IF(B30=INV!B45,INV!C45,IF(B30=INV!B46,INV!C46,IF(B30=INV!B47,INV!C47,IF(B30=INV!B48,INV!C48,IF(B30=INV!B49,INV!C49,IF(B30=INV!B50,INV!C50,IF(B30=INV!B51,INV!C51,IF(B30=INV!B52,INV!C52,IF(B30=INV!B53,INV!C53,IF(B30=INV!B54,INV!C54,IF(B30=INV!B55,INV!C55,IF(B30=INV!B56,INV!C56,IF(B30=INV!B57,INV!C57,IF(B30=INV!B58,INV!C58,IF(B30=INV!B59,INV!C59,IF(B30=INV!B60,INV!C60))))))))))))))))))))))))))))))))))))))))))))))))))))))))))))</f>
        <v/>
      </c>
      <c r="D30" s="52" t="str">
        <f>IF(C30="","",IF(C30=INV!C2,INV!D2,IF(C30=INV!C3,INV!D3,IF(C30=INV!C4,INV!D4,IF(C30=INV!C5,INV!D5,IF(C30=INV!C6,INV!D6,IF(C30=INV!C7,INV!D7,IF(C30=INV!C8,INV!D8,IF(C30=INV!C9,INV!D9,IF(C30=INV!C10,INV!D10,IF(C30=INV!C11,INV!D11,IF(C30=INV!C12,INV!D12,IF(C30=INV!C13,INV!D13,IF(C30=INV!C14,INV!D14,IF(C30=INV!C15,INV!D15,IF(C30=INV!C16,INV!D16,IF(C30=INV!C17,INV!D17,IF(C30=INV!C18,INV!D18,IF(C30=INV!C19,INV!D19,IF(C30=INV!C20,INV!D20,IF(C30=INV!C21,INV!D21,IF(C30=INV!C22,INV!D22,IF(C30=INV!C23,INV!D23,IF(C30=INV!C24,INV!D24,IF(C30=INV!C25,INV!D25,IF(C30=INV!C26,INV!D26,IF(C30=INV!C27,INV!D27,IF(C30=INV!C28,INV!D28,IF(C30=INV!C29,INV!D29,IF(C30=INV!C30,INV!D30,IF(C30=INV!C31,INV!D31,IF(C30=INV!C32,INV!D32,IF(C30=INV!C33,INV!D33,IF(C30=INV!C34,INV!D34,IF(C30=INV!C35,INV!D35,IF(C30=INV!C36,INV!D36,IF(C30=INV!C37,INV!D37,IF(C30=INV!C38,INV!D38,IF(C30=INV!C39,INV!D39,IF(C30=INV!C40,INV!D40,IF(C30=INV!C41,INV!D331,IF(C30=INV!C42,INV!D42,IF(C30=INV!C43,INV!D43,IF(C30=INV!C44,INV!D44,IF(C30=INV!C45,INV!D45,IF(C30=INV!C46,INV!D46,IF(C30=INV!C47,INV!D47,IF(C30=INV!C48,INV!D48,IF(C30=INV!C49,INV!D49,IF(C30=INV!C50,INV!D50,IF(C30=INV!C51,INV!D51,IF(C30=INV!C52,INV!D52,IF(C30=INV!C53,INV!D53,IF(C30=INV!C54,INV!D54,IF(C30=INV!C55,INV!D55,IF(C30=INV!C56,INV!D56,IF(C30=INV!C57,INV!D57,IF(C30=INV!C58,INV!D58,IF(C30=INV!C59,INV!D59,IF(C30=INV!C60,INV!D60))))))))))))))))))))))))))))))))))))))))))))))))))))))))))))</f>
        <v/>
      </c>
      <c r="E30" s="52"/>
      <c r="F30" s="16"/>
      <c r="G30" s="17" t="str">
        <f>IF(B30="","",IF(B30=INV!B2,INV!F2,IF(B30=INV!B3,INV!F3,IF(B30=INV!B4,INV!F4,IF(B30=INV!B5,INV!F5,IF(B30=INV!B6,INV!F6,IF(B30=INV!B7,INV!F7,IF(B30=INV!B8,INV!F8,IF(B30=INV!B9,INV!F9,IF(B30=INV!B10,INV!F10,IF(B30=INV!B11,INV!F11,IF(B30=INV!B12,INV!F12,IF(B30=INV!B13,INV!F13,IF(B30=INV!B14,INV!F14,IF(B30=INV!B15,INV!F15,IF(B30=INV!B16,INV!F16,IF(B30=INV!B17,INV!F17,IF(B30=INV!B18,INV!F18,IF(B30=INV!B19,INV!F19,IF(B30=INV!B20,INV!F20,IF(B30=INV!B21,INV!F21,IF(B30=INV!B22,INV!F22,IF(B30=INV!B23,INV!F23,IF(B30=INV!B24,INV!F24,IF(B30=INV!B25,INV!F25,IF(B30=INV!B26,INV!F26,IF(B30=INV!B27,INV!F27,IF(B30=INV!B28,INV!F28,IF(B30=INV!B29,INV!F29,IF(B30=INV!B30,INV!F30,IF(B30=INV!B31,INV!F31,IF(B30=INV!B32,INV!F32,IF(B30=INV!B33,INV!F33,IF(B30=INV!B34,INV!F34,IF(B30=INV!B35,INV!F35,IF(B30=INV!B36,INV!F36,IF(B30=INV!B37,INV!F37,IF(B30=INV!B38,INV!F38,IF(B30=INV!B39,INV!F39,IF(B30=INV!B40,INV!F40,IF(B30=INV!B41,INV!F41,IF(B30=INV!B42,INV!F42,IF(B30=INV!B43,INV!F43,IF(B30=INV!B44,INV!F44,IF(B30=INV!B45,INV!F45,IF(B30=INV!B46,INV!F46,IF(B30=INV!B47,INV!F47,IF(B30=INV!B48,INV!F48,IF(B30=INV!B49,INV!F49,IF(B30=INV!B50,INV!F50,IF(B30=INV!B51,INV!F51,IF(B30=INV!B52,INV!F52,IF(B30=INV!B53,INV!F53,IF(B30=INV!B54,INV!F54,IF(B30=INV!B55,INV!F55,IF(B30=INV!B56,INV!F56,IF(B30=INV!B57,INV!F57,IF(B30=INV!B58,INV!F58,IF(B30=INV!B60,INV!F60)))))))))))))))))))))))))))))))))))))))))))))))))))))))))))</f>
        <v/>
      </c>
      <c r="H30" s="17" t="str">
        <f t="shared" si="0"/>
        <v/>
      </c>
    </row>
    <row r="31" spans="2:8" ht="33.75" customHeight="1">
      <c r="B31" s="14"/>
      <c r="C31" s="15" t="str">
        <f>IF(B31="","",IF(B31=INV!B2,INV!C2,IF(B31=INV!B3,INV!C3,IF(B31=INV!B4,INV!C4,IF(B31=INV!B5,INV!C5,IF(B31=INV!B6,INV!C6,IF(B31=INV!B7,INV!C7,IF(B31=INV!B8,INV!C8,IF(B31=INV!B9,INV!C9,IF(B31=INV!B10,INV!C10,IF(B31=INV!B11,INV!C11,IF(B31=INV!B12,INV!C12,IF(B31=INV!B13,INV!C13,IF(B31=INV!B14,INV!C14,IF(B31=INV!B15,INV!C15,IF(B31=INV!B16,INV!C16,IF(B31=INV!B17,INV!C17,IF(B31=INV!B18,INV!C18,IF(B31=INV!B19,INV!C19,IF(B31=INV!B20,INV!C20,IF(B31=INV!B21,INV!C21,IF(B31=INV!B22,INV!C22,IF(B31=INV!B23,INV!C23,IF(B31=INV!B24,INV!C24,IF(B31=INV!B25,INV!C25,IF(B31=INV!B26,INV!C26,IF(B31=INV!B27,INV!C27,IF(B31=INV!B28,INV!C28,IF(B31=INV!B29,INV!C29,IF(B31=INV!B30,INV!C30,IF(B31=INV!B31,INV!C31,IF(B31=INV!B32,INV!C32,IF(B31=INV!B33,INV!C33,IF(B31=INV!B34,INV!C34,IF(B31=INV!B35,INV!C35,IF(B31=INV!B36,INV!C36,IF(B31=INV!B37,INV!C37,IF(B31=INV!B38,INV!C38,IF(B31=INV!B39,INV!C39,IF(B31=INV!B40,INV!C40,IF(B31=INV!B41,INV!C41,IF(B31=INV!B42,INV!C332,IF(B31=INV!B43,INV!C43,IF(B31=INV!B44,INV!C44,IF(B31=INV!B45,INV!C45,IF(B31=INV!B46,INV!C46,IF(B31=INV!B47,INV!C47,IF(B31=INV!B48,INV!C48,IF(B31=INV!B49,INV!C49,IF(B31=INV!B50,INV!C50,IF(B31=INV!B51,INV!C51,IF(B31=INV!B52,INV!C52,IF(B31=INV!B53,INV!C53,IF(B31=INV!B54,INV!C54,IF(B31=INV!B55,INV!C55,IF(B31=INV!B56,INV!C56,IF(B31=INV!B57,INV!C57,IF(B31=INV!B58,INV!C58,IF(B31=INV!B59,INV!C59,IF(B31=INV!B60,INV!C60,IF(B31=INV!B61,INV!C61)))))))))))))))))))))))))))))))))))))))))))))))))))))))))))))</f>
        <v/>
      </c>
      <c r="D31" s="52" t="str">
        <f>IF(C31="","",IF(C31=INV!C2,INV!D2,IF(C31=INV!C3,INV!D3,IF(C31=INV!C4,INV!D4,IF(C31=INV!C5,INV!D5,IF(C31=INV!C6,INV!D6,IF(C31=INV!C7,INV!D7,IF(C31=INV!C8,INV!D8,IF(C31=INV!C9,INV!D9,IF(C31=INV!C10,INV!D10,IF(C31=INV!C11,INV!D11,IF(C31=INV!C12,INV!D12,IF(C31=INV!C13,INV!D13,IF(C31=INV!C14,INV!D14,IF(C31=INV!C15,INV!D15,IF(C31=INV!C16,INV!D16,IF(C31=INV!C17,INV!D17,IF(C31=INV!C18,INV!D18,IF(C31=INV!C19,INV!D19,IF(C31=INV!C20,INV!D20,IF(C31=INV!C21,INV!D21,IF(C31=INV!C22,INV!D22,IF(C31=INV!C23,INV!D23,IF(C31=INV!C24,INV!D24,IF(C31=INV!C25,INV!D25,IF(C31=INV!C26,INV!D26,IF(C31=INV!C27,INV!D27,IF(C31=INV!C28,INV!D28,IF(C31=INV!C29,INV!D29,IF(C31=INV!C30,INV!D30,IF(C31=INV!C31,INV!D31,IF(C31=INV!C32,INV!D32,IF(C31=INV!C33,INV!D33,IF(C31=INV!C34,INV!D34,IF(C31=INV!C35,INV!D35,IF(C31=INV!C36,INV!D36,IF(C31=INV!C37,INV!D37,IF(C31=INV!C38,INV!D38,IF(C31=INV!C39,INV!D39,IF(C31=INV!C40,INV!D40,IF(C31=INV!C41,INV!D41,IF(C31=INV!C42,INV!D332,IF(C31=INV!C43,INV!D43,IF(C31=INV!C44,INV!D44,IF(C31=INV!C45,INV!D45,IF(C31=INV!C46,INV!D46,IF(C31=INV!C47,INV!D47,IF(C31=INV!C48,INV!D48,IF(C31=INV!C49,INV!D49,IF(C31=INV!C50,INV!D50,IF(C31=INV!C51,INV!D51,IF(C31=INV!C52,INV!D52,IF(C31=INV!C53,INV!D53,IF(C31=INV!C54,INV!D54,IF(C31=INV!C55,INV!D55,IF(C31=INV!C56,INV!D56,IF(C31=INV!C57,INV!D57,IF(C31=INV!C58,INV!D58,IF(C31=INV!C59,INV!D59,IF(C31=INV!C60,INV!D60,IF(C31=INV!C61,INV!D61)))))))))))))))))))))))))))))))))))))))))))))))))))))))))))))</f>
        <v/>
      </c>
      <c r="E31" s="52"/>
      <c r="F31" s="16"/>
      <c r="G31" s="17" t="str">
        <f>IF(B31="","",IF(B31=INV!B2,INV!F2,IF(B31=INV!B3,INV!F3,IF(B31=INV!B4,INV!F4,IF(B31=INV!B5,INV!F5,IF(B31=INV!B6,INV!F6,IF(B31=INV!B7,INV!F7,IF(B31=INV!B8,INV!F8,IF(B31=INV!B9,INV!F9,IF(B31=INV!B10,INV!F10,IF(B31=INV!B11,INV!F11,IF(B31=INV!B12,INV!F12,IF(B31=INV!B13,INV!F13,IF(B31=INV!B14,INV!F14,IF(B31=INV!B15,INV!F15,IF(B31=INV!B16,INV!F16,IF(B31=INV!B17,INV!F17,IF(B31=INV!B18,INV!F18,IF(B31=INV!B19,INV!F19,IF(B31=INV!B20,INV!F20,IF(B31=INV!B21,INV!F21,IF(B31=INV!B22,INV!F22,IF(B31=INV!B23,INV!F23,IF(B31=INV!B24,INV!F24,IF(B31=INV!B25,INV!F25,IF(B31=INV!B26,INV!F26,IF(B31=INV!B27,INV!F27,IF(B31=INV!B28,INV!F28,IF(B31=INV!B29,INV!F29,IF(B31=INV!B30,INV!F30,IF(B31=INV!B31,INV!F31,IF(B31=INV!B32,INV!F32,IF(B31=INV!B33,INV!F33,IF(B31=INV!B34,INV!F34,IF(B31=INV!B35,INV!F35,IF(B31=INV!B36,INV!F36,IF(B31=INV!B37,INV!F37,IF(B31=INV!B38,INV!F38,IF(B31=INV!B39,INV!F39,IF(B31=INV!B40,INV!F40,IF(B31=INV!B41,INV!F41,IF(B31=INV!B42,INV!F42,IF(B31=INV!B43,INV!F43,IF(B31=INV!B44,INV!F44,IF(B31=INV!B45,INV!F45,IF(B31=INV!B46,INV!F46,IF(B31=INV!B47,INV!F47,IF(B31=INV!B48,INV!F48,IF(B31=INV!B49,INV!F49,IF(B31=INV!B50,INV!F50,IF(B31=INV!B51,INV!F51,IF(B31=INV!B52,INV!F52,IF(B31=INV!B53,INV!F53,IF(B31=INV!B54,INV!F54,IF(B31=INV!B55,INV!F55,IF(B31=INV!B56,INV!F56,IF(B31=INV!B57,INV!F57,IF(B31=INV!B58,INV!F58,IF(B31=INV!B59,INV!F59,IF(B31=INV!B60,INV!F60))))))))))))))))))))))))))))))))))))))))))))))))))))))))))))</f>
        <v/>
      </c>
      <c r="H31" s="17" t="str">
        <f t="shared" si="0"/>
        <v/>
      </c>
    </row>
    <row r="32" spans="2:8" ht="15" customHeight="1">
      <c r="B32" s="15"/>
      <c r="C32" s="15"/>
      <c r="D32" s="18"/>
      <c r="E32" s="18"/>
      <c r="F32" s="15"/>
      <c r="G32" s="19"/>
      <c r="H32" s="19"/>
    </row>
    <row r="33" spans="4:8" ht="15" customHeight="1">
      <c r="D33" s="55" t="s">
        <v>203</v>
      </c>
      <c r="E33" s="20" t="s">
        <v>204</v>
      </c>
      <c r="F33" s="20" t="s">
        <v>205</v>
      </c>
      <c r="G33" s="20" t="s">
        <v>227</v>
      </c>
      <c r="H33" s="20" t="s">
        <v>206</v>
      </c>
    </row>
    <row r="34" spans="4:8">
      <c r="D34" s="56"/>
      <c r="E34" s="22">
        <f>SUM(F21:F31)</f>
        <v>0</v>
      </c>
      <c r="F34" s="22">
        <f>COUNT(F21:F31)</f>
        <v>0</v>
      </c>
      <c r="G34" s="38" t="str">
        <f>IF(H17="NO","",IF(H17="SI",SUM(H21:H31)*10%))</f>
        <v/>
      </c>
      <c r="H34" s="39">
        <f>IF(H17="NO",SUM(H21:H31),SUM(H21:H31)-G34)</f>
        <v>0</v>
      </c>
    </row>
  </sheetData>
  <sheetProtection sheet="1" objects="1" selectLockedCells="1"/>
  <mergeCells count="18">
    <mergeCell ref="A1:H3"/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  <mergeCell ref="C10:F10"/>
    <mergeCell ref="C12:F12"/>
    <mergeCell ref="C14:F14"/>
    <mergeCell ref="C16:F16"/>
    <mergeCell ref="D19:E19"/>
    <mergeCell ref="D31:E31"/>
    <mergeCell ref="D30:E30"/>
    <mergeCell ref="D33:D34"/>
  </mergeCells>
  <pageMargins left="0.7" right="0.7" top="0.75" bottom="0.75" header="0.3" footer="0.3"/>
  <pageSetup paperSize="9" orientation="portrait" r:id="rId1"/>
  <drawing r:id="rId2"/>
  <picture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0000000}">
          <x14:formula1>
            <xm:f>DATA!$A$1:$A$2</xm:f>
          </x14:formula1>
          <xm:sqref>H16</xm:sqref>
        </x14:dataValidation>
        <x14:dataValidation type="list" allowBlank="1" showInputMessage="1" showErrorMessage="1" xr:uid="{00000000-0002-0000-0100-000001000000}">
          <x14:formula1>
            <xm:f>INV!$B:$B</xm:f>
          </x14:formula1>
          <xm:sqref>B21:B32</xm:sqref>
        </x14:dataValidation>
        <x14:dataValidation type="list" allowBlank="1" showInputMessage="1" showErrorMessage="1" xr:uid="{237BC956-ECB9-4455-A15C-5B5D4AAC9CE7}">
          <x14:formula1>
            <xm:f>DATA!$A$5:$A$6</xm:f>
          </x14:formula1>
          <xm:sqref>H17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K34"/>
  <sheetViews>
    <sheetView showGridLines="0" showRowColHeaders="0" showRuler="0" view="pageLayout" zoomScale="90" zoomScaleNormal="100" zoomScalePageLayoutView="90" workbookViewId="0">
      <selection activeCell="C10" sqref="C10:F10"/>
    </sheetView>
  </sheetViews>
  <sheetFormatPr baseColWidth="10" defaultColWidth="11.42578125" defaultRowHeight="15"/>
  <cols>
    <col min="1" max="1" width="2.140625" customWidth="1"/>
    <col min="2" max="2" width="8.140625" customWidth="1"/>
    <col min="4" max="4" width="18.28515625" customWidth="1"/>
    <col min="6" max="6" width="11.42578125" customWidth="1"/>
    <col min="7" max="7" width="12" customWidth="1"/>
    <col min="9" max="11" width="6.28515625" style="1" bestFit="1" customWidth="1"/>
  </cols>
  <sheetData>
    <row r="1" spans="1:8">
      <c r="A1" s="53" t="s">
        <v>187</v>
      </c>
      <c r="B1" s="53"/>
      <c r="C1" s="53"/>
      <c r="D1" s="53"/>
      <c r="E1" s="53"/>
      <c r="F1" s="53"/>
      <c r="G1" s="53"/>
      <c r="H1" s="53"/>
    </row>
    <row r="2" spans="1:8">
      <c r="A2" s="53"/>
      <c r="B2" s="53"/>
      <c r="C2" s="53"/>
      <c r="D2" s="53"/>
      <c r="E2" s="53"/>
      <c r="F2" s="53"/>
      <c r="G2" s="53"/>
      <c r="H2" s="53"/>
    </row>
    <row r="3" spans="1:8">
      <c r="A3" s="53"/>
      <c r="B3" s="53"/>
      <c r="C3" s="53"/>
      <c r="D3" s="53"/>
      <c r="E3" s="53"/>
      <c r="F3" s="53"/>
      <c r="G3" s="53"/>
      <c r="H3" s="53"/>
    </row>
    <row r="5" spans="1:8" ht="21">
      <c r="B5" s="2" t="s">
        <v>220</v>
      </c>
    </row>
    <row r="6" spans="1:8">
      <c r="B6" s="3" t="s">
        <v>188</v>
      </c>
      <c r="C6" s="3"/>
    </row>
    <row r="7" spans="1:8">
      <c r="B7" s="3" t="s">
        <v>189</v>
      </c>
      <c r="C7" s="3"/>
    </row>
    <row r="8" spans="1:8">
      <c r="B8" s="3" t="s">
        <v>221</v>
      </c>
      <c r="C8" s="3"/>
    </row>
    <row r="10" spans="1:8">
      <c r="B10" s="4" t="s">
        <v>190</v>
      </c>
      <c r="C10" s="50"/>
      <c r="D10" s="50"/>
      <c r="E10" s="50"/>
      <c r="F10" s="50"/>
      <c r="G10" s="4" t="s">
        <v>191</v>
      </c>
      <c r="H10" s="5">
        <f ca="1">NOW()</f>
        <v>46280.587582060187</v>
      </c>
    </row>
    <row r="11" spans="1:8">
      <c r="B11" s="4"/>
      <c r="C11" s="3"/>
      <c r="D11" s="3"/>
      <c r="E11" s="3"/>
      <c r="F11" s="3"/>
      <c r="G11" s="6"/>
      <c r="H11" s="7"/>
    </row>
    <row r="12" spans="1:8">
      <c r="B12" s="4" t="s">
        <v>192</v>
      </c>
      <c r="C12" s="50"/>
      <c r="D12" s="50"/>
      <c r="E12" s="50"/>
      <c r="F12" s="50"/>
      <c r="G12" s="4" t="s">
        <v>193</v>
      </c>
      <c r="H12" s="8">
        <f ca="1">51437+H10+G34</f>
        <v>97717.587582060194</v>
      </c>
    </row>
    <row r="13" spans="1:8">
      <c r="B13" s="4"/>
      <c r="C13" s="3"/>
      <c r="D13" s="3"/>
      <c r="E13" s="3"/>
      <c r="F13" s="3"/>
      <c r="G13" s="6"/>
      <c r="H13" s="7"/>
    </row>
    <row r="14" spans="1:8">
      <c r="B14" s="4" t="s">
        <v>194</v>
      </c>
      <c r="C14" s="50"/>
      <c r="D14" s="50"/>
      <c r="E14" s="50"/>
      <c r="F14" s="50"/>
      <c r="G14" s="4" t="s">
        <v>195</v>
      </c>
      <c r="H14" s="7" t="s">
        <v>196</v>
      </c>
    </row>
    <row r="15" spans="1:8">
      <c r="B15" s="4"/>
      <c r="C15" s="3"/>
      <c r="D15" s="3"/>
      <c r="E15" s="3"/>
      <c r="F15" s="9"/>
      <c r="G15" s="6"/>
      <c r="H15" s="7"/>
    </row>
    <row r="16" spans="1:8">
      <c r="B16" s="4" t="s">
        <v>197</v>
      </c>
      <c r="C16" s="50"/>
      <c r="D16" s="50"/>
      <c r="E16" s="50"/>
      <c r="F16" s="50"/>
      <c r="G16" s="10" t="s">
        <v>198</v>
      </c>
      <c r="H16" s="11" t="s">
        <v>207</v>
      </c>
    </row>
    <row r="17" spans="2:11">
      <c r="G17" s="4" t="s">
        <v>208</v>
      </c>
      <c r="H17" s="12">
        <v>842.21</v>
      </c>
    </row>
    <row r="19" spans="2:11">
      <c r="B19" s="13" t="s">
        <v>1</v>
      </c>
      <c r="C19" s="13" t="s">
        <v>200</v>
      </c>
      <c r="D19" s="51" t="s">
        <v>4</v>
      </c>
      <c r="E19" s="51"/>
      <c r="F19" s="13" t="s">
        <v>201</v>
      </c>
      <c r="G19" s="13" t="s">
        <v>209</v>
      </c>
      <c r="H19" s="13" t="s">
        <v>210</v>
      </c>
    </row>
    <row r="21" spans="2:11" ht="33.75" customHeight="1">
      <c r="B21" s="14"/>
      <c r="C21" s="15" t="str">
        <f>IF(B21="","",IF(B21=INV!B2,INV!C2,IF(B21=INV!B3,INV!C3,IF(B21=INV!B4,INV!C4,IF(B21=INV!B5,INV!C5,IF(B21=INV!B6,INV!C6,IF(B21=INV!B7,INV!C7,IF(B21=INV!B8,INV!C8,IF(B21=INV!B9,INV!C9,IF(B21=INV!B10,INV!C10,IF(B21=INV!B11,INV!C11,IF(B21=INV!B12,INV!C12,IF(B21=INV!B13,INV!C13,IF(B21=INV!B14,INV!C14,IF(B21=INV!B15,INV!C15,IF(B21=INV!B16,INV!C16,IF(B21=INV!B17,INV!C17,IF(B21=INV!B18,INV!C18,IF(B21=INV!B19,INV!C19,IF(B21=INV!B20,INV!C20,IF(B21=INV!B21,INV!C21,IF(B21=INV!B22,INV!C22,IF(B21=INV!B23,INV!C23,IF(B21=INV!B24,INV!C24,IF(B21=INV!B25,INV!C25,IF(B21=INV!B26,INV!C26,IF(B21=INV!B27,INV!C27,IF(B21=INV!B28,INV!C28,IF(B21=INV!B29,INV!C29,IF(B21=INV!B30,INV!C30,IF(B21=INV!B31,INV!C31,IF(B21=INV!B32,INV!C322,IF(B21=INV!B33,INV!C33,IF(B21=INV!B34,INV!C34,IF(B21=INV!B35,INV!C35,IF(B21=INV!B36,INV!C36,IF(B21=INV!B37,INV!C37,IF(B21=INV!B38,INV!C38,IF(B21=INV!B39,INV!C39,IF(B21=INV!B40,INV!C40,IF(B21=INV!B41,INV!C41,IF(B21=INV!B42,INV!C42,IF(B21=INV!B43,INV!C43,IF(B21=INV!B44,INV!C44,IF(B21=INV!B45,INV!C45,IF(B21=INV!B46,INV!C46,IF(B21=INV!B47,INV!C47,IF(B21=INV!B48,INV!C48,IF(B21=INV!B49,INV!C49,IF(B21=INV!B50,INV!C50,IF(B21=INV!B51,INV!C51)))))))))))))))))))))))))))))))))))))))))))))))))))</f>
        <v/>
      </c>
      <c r="D21" s="52" t="str">
        <f>IF(C21="","",IF(C21=INV!C2,INV!D2,IF(C21=INV!C3,INV!D3,IF(C21=INV!C4,INV!D4,IF(C21=INV!C5,INV!D5,IF(C21=INV!C6,INV!D6,IF(C21=INV!C7,INV!D7,IF(C21=INV!C8,INV!D8,IF(C21=INV!C9,INV!D9,IF(C21=INV!C10,INV!D10,IF(C21=INV!C11,INV!D11,IF(C21=INV!C12,INV!D12,IF(C21=INV!C13,INV!D13,IF(C21=INV!C14,INV!D14,IF(C21=INV!C15,INV!D15,IF(C21=INV!C16,INV!D16,IF(C21=INV!C17,INV!D17,IF(C21=INV!C18,INV!D18,IF(C21=INV!C19,INV!D19,IF(C21=INV!C20,INV!D20,IF(C21=INV!C21,INV!D21,IF(C21=INV!C22,INV!D22,IF(C21=INV!C23,INV!D23,IF(C21=INV!C24,INV!D24,IF(C21=INV!C25,INV!D25,IF(C21=INV!C26,INV!D26,IF(C21=INV!C27,INV!D27,IF(C21=INV!C28,INV!D28,IF(C21=INV!C29,INV!D29,IF(C21=INV!C30,INV!D30,IF(C21=INV!C31,INV!D31,IF(C21=INV!C32,INV!D322,IF(C21=INV!C33,INV!D33,IF(C21=INV!C34,INV!D34,IF(C21=INV!C35,INV!D35,IF(C21=INV!C36,INV!D36,IF(C21=INV!C37,INV!D37,IF(C21=INV!C38,INV!D38,IF(C21=INV!C39,INV!D39,IF(C21=INV!C40,INV!D40,IF(C21=INV!C41,INV!D41,IF(C21=INV!C42,INV!D42,IF(C21=INV!C43,INV!D43,IF(C21=INV!C44,INV!D44,IF(C21=INV!C45,INV!D45,IF(C21=INV!C46,INV!D46,IF(C21=INV!C47,INV!D47,IF(C21=INV!C48,INV!D48,IF(C21=INV!C49,INV!D49,IF(C21=INV!C50,INV!D50,IF(C21=INV!C51,INV!D51)))))))))))))))))))))))))))))))))))))))))))))))))))</f>
        <v/>
      </c>
      <c r="E21" s="52"/>
      <c r="F21" s="16"/>
      <c r="G21" s="17" t="str">
        <f>IF(B21="","",IF(B21=INV!B2,INV!F2*H17,IF(B21=INV!B3,INV!F3*H17,IF(B21=INV!B4,INV!F4*H17,IF(B21=INV!B5,INV!F5*H17,IF(B21=INV!B6,INV!F6*H17,IF(B21=INV!B7,INV!F7*H17,IF(B21=INV!B8,INV!F8*H17,IF(B21=INV!B9,INV!F9*H17,IF(B21=INV!B10,INV!F10*H17,IF(B21=INV!B11,INV!F11*H17,IF(B21=INV!B12,INV!F12*H17,IF(B21=INV!B13,INV!F13*H17,IF(B21=INV!B14,INV!F14*H17,IF(B21=INV!B15,INV!F15*H17,IF(B21=INV!B16,INV!F16*H17,IF(B21=INV!B17,INV!F17*H17,IF(B21=INV!B18,INV!F18*H17,IF(B21=INV!B19,INV!F19*H17,IF(B21=INV!B20,INV!F20*H17,IF(B21=INV!B21,INV!F21*H17,IF(B21=INV!B22,INV!F22*H17,IF(B21=INV!B23,INV!F23*H17,IF(B21=INV!B24,INV!F24*H17,IF(B21=INV!B25,INV!F25*H17,IF(B21=INV!B26,INV!F26*H17,IF(B21=INV!B27,INV!F27*H17,IF(B21=INV!B28,INV!F28*H17,IF(B21=INV!B29,INV!F29*H17,IF(B21=INV!B30,INV!F30*H17,IF(B21=INV!B31,INV!F31*H17,IF(B21=INV!B32,INV!F32*H17,IF(B21=INV!B33,INV!F33*H17,IF(B21=INV!B34,INV!F34*H17,IF(B21=INV!B35,INV!F35*H17,IF(B21=INV!B36,INV!F36*H17,IF(B21=INV!B37,INV!F37*H17,IF(B21=INV!B38,INV!F38*H17,IF(B21=INV!B39,INV!F39*H17,IF(B21=INV!B40,INV!F40*H17,IF(B21=INV!B41,INV!F41*H17,IF(B21=INV!B42,INV!F42*H17,IF(B21=INV!B43,INV!F43*H17,IF(B21=INV!B44,INV!F44*H17,IF(B21=INV!B45,INV!F45*H17,IF(B21=INV!B46,INV!F46*H17,IF(B21=INV!B47,INV!F47*H17,IF(B21=INV!B48,INV!F48*H17,IF(B21=INV!B49,INV!F49*H17,IF(B21=INV!B50,INV!F50*H17,IF(B21=INV!B51,INV!F51*H17)))))))))))))))))))))))))))))))))))))))))))))))))))</f>
        <v/>
      </c>
      <c r="H21" s="17" t="str">
        <f t="shared" ref="H21:H31" si="0">IF(F21="","",G21*F21)</f>
        <v/>
      </c>
      <c r="I21" s="17"/>
      <c r="J21" s="17"/>
      <c r="K21" s="17"/>
    </row>
    <row r="22" spans="2:11" ht="33.75" customHeight="1">
      <c r="B22" s="14"/>
      <c r="C22" s="15" t="str">
        <f>IF(B22="","",IF(B22=INV!B2,INV!C2,IF(B22=INV!B3,INV!C3,IF(B22=INV!B4,INV!C4,IF(B22=INV!B5,INV!C5,IF(B22=INV!B6,INV!C6,IF(B22=INV!B7,INV!C7,IF(B22=INV!B8,INV!C8,IF(B22=INV!B9,INV!C9,IF(B22=INV!B10,INV!C10,IF(B22=INV!B11,INV!C11,IF(B22=INV!B12,INV!C12,IF(B22=INV!B13,INV!C13,IF(B22=INV!B14,INV!C14,IF(B22=INV!B15,INV!C15,IF(B22=INV!B16,INV!C16,IF(B22=INV!B17,INV!C17,IF(B22=INV!B18,INV!C18,IF(B22=INV!B19,INV!C19,IF(B22=INV!B20,INV!C20,IF(B22=INV!B21,INV!C21,IF(B22=INV!B22,INV!C22,IF(B22=INV!B23,INV!C23,IF(B22=INV!B24,INV!C24,IF(B22=INV!B25,INV!C25,IF(B22=INV!B26,INV!C26,IF(B22=INV!B27,INV!C27,IF(B22=INV!B28,INV!C28,IF(B22=INV!B29,INV!C29,IF(B22=INV!B30,INV!C30,IF(B22=INV!B31,INV!C31,IF(B22=INV!B32,INV!C32,IF(B22=INV!B33,INV!C323,IF(B22=INV!B34,INV!C34,IF(B22=INV!B35,INV!C35,IF(B22=INV!B36,INV!C36,IF(B22=INV!B37,INV!C37,IF(B22=INV!B38,INV!C38,IF(B22=INV!B39,INV!C39,IF(B22=INV!B40,INV!C40,IF(B22=INV!B41,INV!C41,IF(B22=INV!B42,INV!C42,IF(B22=INV!B43,INV!C43,IF(B22=INV!B44,INV!C44,IF(B22=INV!B45,INV!C45,IF(B22=INV!B46,INV!C46,IF(B22=INV!B47,INV!C47,IF(B22=INV!B48,INV!C48,IF(B22=INV!B49,INV!C49,IF(B22=INV!B50,INV!C50,IF(B22=INV!B51,INV!C51,IF(B22=INV!B52,INV!C52))))))))))))))))))))))))))))))))))))))))))))))))))))</f>
        <v/>
      </c>
      <c r="D22" s="52" t="str">
        <f>IF(C22="","",IF(C22=INV!C2,INV!D2,IF(C22=INV!C3,INV!D3,IF(C22=INV!C4,INV!D4,IF(C22=INV!C5,INV!D5,IF(C22=INV!C6,INV!D6,IF(C22=INV!C7,INV!D7,IF(C22=INV!C8,INV!D8,IF(C22=INV!C9,INV!D9,IF(C22=INV!C10,INV!D10,IF(C22=INV!C11,INV!D11,IF(C22=INV!C12,INV!D12,IF(C22=INV!C13,INV!D13,IF(C22=INV!C14,INV!D14,IF(C22=INV!C15,INV!D15,IF(C22=INV!C16,INV!D16,IF(C22=INV!C17,INV!D17,IF(C22=INV!C18,INV!D18,IF(C22=INV!C19,INV!D19,IF(C22=INV!C20,INV!D20,IF(C22=INV!C21,INV!D21,IF(C22=INV!C22,INV!D22,IF(C22=INV!C23,INV!D23,IF(C22=INV!C24,INV!D24,IF(C22=INV!C25,INV!D25,IF(C22=INV!C26,INV!D26,IF(C22=INV!C27,INV!D27,IF(C22=INV!C28,INV!D28,IF(C22=INV!C29,INV!D29,IF(C22=INV!C30,INV!D30,IF(C22=INV!C31,INV!D31,IF(C22=INV!C32,INV!D32,IF(C22=INV!C33,INV!D323,IF(C22=INV!C34,INV!D34,IF(C22=INV!C35,INV!D35,IF(C22=INV!C36,INV!D36,IF(C22=INV!C37,INV!D37,IF(C22=INV!C38,INV!D38,IF(C22=INV!C39,INV!D39,IF(C22=INV!C40,INV!D40,IF(C22=INV!C41,INV!D41,IF(C22=INV!C42,INV!D42,IF(C22=INV!C43,INV!D43,IF(C22=INV!C44,INV!D44,IF(C22=INV!C45,INV!D45,IF(C22=INV!C46,INV!D46,IF(C22=INV!C47,INV!D47,IF(C22=INV!C48,INV!D48,IF(C22=INV!C49,INV!D49,IF(C22=INV!C50,INV!D50,IF(C22=INV!C51,INV!D51,IF(C22=INV!C52,INV!D52))))))))))))))))))))))))))))))))))))))))))))))))))))</f>
        <v/>
      </c>
      <c r="E22" s="52"/>
      <c r="F22" s="16"/>
      <c r="G22" s="17" t="str">
        <f>IF(B22="","",IF(B22=INV!B2,INV!F2*H17,IF(B22=INV!B3,INV!F3*H17,IF(B22=INV!B4,INV!F4*H17,IF(B22=INV!B5,INV!F5*H17,IF(B22=INV!B6,INV!F6*H17,IF(B22=INV!B7,INV!F7*H17,IF(B22=INV!B8,INV!F8*H17,IF(B22=INV!B9,INV!F9*H17,IF(B22=INV!B10,INV!F10*H17,IF(B22=INV!B11,INV!F11*H17,IF(B22=INV!B12,INV!F12*H17,IF(B22=INV!B13,INV!F13*H17,IF(B22=INV!B14,INV!F14*H17,IF(B22=INV!B15,INV!F15*H17,IF(B22=INV!B16,INV!F16*H17,IF(B22=INV!B17,INV!F17*H17,IF(B22=INV!B18,INV!F18*H17,IF(B22=INV!B19,INV!F19*H17,IF(B22=INV!B20,INV!F20*H17,IF(B22=INV!B21,INV!F21*H17,IF(B22=INV!B22,INV!F22*H17,IF(B22=INV!B23,INV!F23*H17,IF(B22=INV!B24,INV!F24*H17,IF(B22=INV!B25,INV!F25*H17,IF(B22=INV!B26,INV!F26*H17,IF(B22=INV!B27,INV!F27*H17,IF(B22=INV!B28,INV!F28*H17,IF(B22=INV!B29,INV!F29*H17,IF(B22=INV!B30,INV!F30*H17,IF(B22=INV!B31,INV!F31*H17,IF(B22=INV!B32,INV!F32*H17,IF(B22=INV!B33,INV!F33*H17,IF(B22=INV!B34,INV!F34*H17,IF(B22=INV!B35,INV!F35*H17,IF(B22=INV!B36,INV!F36*H17,IF(B22=INV!B37,INV!F37*H17,IF(B22=INV!B38,INV!F38*H17,IF(B22=INV!B39,INV!F39*H17,IF(B22=INV!B40,INV!F40*H17,IF(B22=INV!B41,INV!F41*H17,IF(B22=INV!B42,INV!F42*H17,IF(B22=INV!B43,INV!F43*H17,IF(B22=INV!B44,INV!F44*H17,IF(B22=INV!B45,INV!F45*H17,IF(B22=INV!B46,INV!F46*H17,IF(B22=INV!B47,INV!F47*H17,IF(B22=INV!B48,INV!F48*H17,IF(B22=INV!B49,INV!F49*H17,IF(B22=INV!B50,INV!F50*H17,IF(B22=INV!B51,INV!F51*H17,IF(B22=INV!B52,INV!F52*H17))))))))))))))))))))))))))))))))))))))))))))))))))))</f>
        <v/>
      </c>
      <c r="H22" s="17" t="str">
        <f t="shared" si="0"/>
        <v/>
      </c>
      <c r="I22" s="17"/>
      <c r="J22" s="17"/>
      <c r="K22" s="17"/>
    </row>
    <row r="23" spans="2:11" ht="33.75" customHeight="1">
      <c r="B23" s="14"/>
      <c r="C23" s="15" t="str">
        <f>IF(B23="","",IF(B23=INV!B2,INV!C2,IF(B23=INV!B3,INV!C3,IF(B23=INV!B4,INV!C4,IF(B23=INV!B5,INV!C5,IF(B23=INV!B6,INV!C6,IF(B23=INV!B7,INV!C7,IF(B23=INV!B8,INV!C8,IF(B23=INV!B9,INV!C9,IF(B23=INV!B10,INV!C10,IF(B23=INV!B11,INV!C11,IF(B23=INV!B12,INV!C12,IF(B23=INV!B13,INV!C13,IF(B23=INV!B14,INV!C14,IF(B23=INV!B15,INV!C15,IF(B23=INV!B16,INV!C16,IF(B23=INV!B17,INV!C17,IF(B23=INV!B18,INV!C18,IF(B23=INV!B19,INV!C19,IF(B23=INV!B20,INV!C20,IF(B23=INV!B21,INV!C21,IF(B23=INV!B22,INV!C22,IF(B23=INV!B23,INV!C23,IF(B23=INV!B24,INV!C24,IF(B23=INV!B25,INV!C25,IF(B23=INV!B26,INV!C26,IF(B23=INV!B27,INV!C27,IF(B23=INV!B28,INV!C28,IF(B23=INV!B29,INV!C29,IF(B23=INV!B30,INV!C30,IF(B23=INV!B31,INV!C31,IF(B23=INV!B32,INV!C32,IF(B23=INV!B33,INV!C33,IF(B23=INV!B34,INV!C324,IF(B23=INV!B35,INV!C35,IF(B23=INV!B36,INV!C36,IF(B23=INV!B37,INV!C37,IF(B23=INV!B38,INV!C38,IF(B23=INV!B39,INV!C39,IF(B23=INV!B40,INV!C40,IF(B23=INV!B41,INV!C41,IF(B23=INV!B42,INV!C42,IF(B23=INV!B43,INV!C43,IF(B23=INV!B44,INV!C44,IF(B23=INV!B45,INV!C45,IF(B23=INV!B46,INV!C46,IF(B23=INV!B47,INV!C47,IF(B23=INV!B48,INV!C48,IF(B23=INV!B49,INV!C49,IF(B23=INV!B50,INV!C50,IF(B23=INV!B51,INV!C51,IF(B23=INV!B52,INV!C52,IF(B23=INV!B53,INV!C53)))))))))))))))))))))))))))))))))))))))))))))))))))))</f>
        <v/>
      </c>
      <c r="D23" s="52" t="str">
        <f>IF(C23="","",IF(C23=INV!C2,INV!D2,IF(C23=INV!C3,INV!D3,IF(C23=INV!C4,INV!D4,IF(C23=INV!C5,INV!D5,IF(C23=INV!C6,INV!D6,IF(C23=INV!C7,INV!D7,IF(C23=INV!C8,INV!D8,IF(C23=INV!C9,INV!D9,IF(C23=INV!C10,INV!D10,IF(C23=INV!C11,INV!D11,IF(C23=INV!C12,INV!D12,IF(C23=INV!C13,INV!D13,IF(C23=INV!C14,INV!D14,IF(C23=INV!C15,INV!D15,IF(C23=INV!C16,INV!D16,IF(C23=INV!C17,INV!D17,IF(C23=INV!C18,INV!D18,IF(C23=INV!C19,INV!D19,IF(C23=INV!C20,INV!D20,IF(C23=INV!C21,INV!D21,IF(C23=INV!C22,INV!D22,IF(C23=INV!C23,INV!D23,IF(C23=INV!C24,INV!D24,IF(C23=INV!C25,INV!D25,IF(C23=INV!C26,INV!D26,IF(C23=INV!C27,INV!D27,IF(C23=INV!C28,INV!D28,IF(C23=INV!C29,INV!D29,IF(C23=INV!C30,INV!D30,IF(C23=INV!C31,INV!D31,IF(C23=INV!C32,INV!D32,IF(C23=INV!C33,INV!D33,IF(C23=INV!C34,INV!D324,IF(C23=INV!C35,INV!D35,IF(C23=INV!C36,INV!D36,IF(C23=INV!C37,INV!D37,IF(C23=INV!C38,INV!D38,IF(C23=INV!C39,INV!D39,IF(C23=INV!C40,INV!D40,IF(C23=INV!C41,INV!D41,IF(C23=INV!C42,INV!D42,IF(C23=INV!C43,INV!D43,IF(C23=INV!C44,INV!D44,IF(C23=INV!C45,INV!D45,IF(C23=INV!C46,INV!D46,IF(C23=INV!C47,INV!D47,IF(C23=INV!C48,INV!D48,IF(C23=INV!C49,INV!D49,IF(C23=INV!C50,INV!D50,IF(C23=INV!C51,INV!D51,IF(C23=INV!C52,INV!D52,IF(C23=INV!C53,INV!D53)))))))))))))))))))))))))))))))))))))))))))))))))))))</f>
        <v/>
      </c>
      <c r="E23" s="52"/>
      <c r="F23" s="16"/>
      <c r="G23" s="17" t="str">
        <f>IF(B23="","",IF(B23=INV!B2,INV!F2*H17,IF(B23=INV!B3,INV!F3*H17,IF(B23=INV!B4,INV!F4*H17,IF(B23=INV!B5,INV!F5*H17,IF(B23=INV!B6,INV!F6*H17,IF(B23=INV!B7,INV!F7*H17,IF(B23=INV!B8,INV!F8*H17,IF(B23=INV!B9,INV!F9*H17,IF(B23=INV!B10,INV!F10*H17,IF(B23=INV!B11,INV!F11*H17,IF(B23=INV!B12,INV!F12*H17,IF(B23=INV!B13,INV!F13*H17,IF(B23=INV!B14,INV!F14*H17,IF(B23=INV!B15,INV!F15*H17,IF(B23=INV!B16,INV!F16*H17,IF(B23=INV!B17,INV!F17*H17,IF(B23=INV!B18,INV!F18*H17,IF(B23=INV!B19,INV!F19*H17,IF(B23=INV!B20,INV!F20*H17,IF(B23=INV!B21,INV!F21*H17,IF(B23=INV!B22,INV!F22*H17,IF(B23=INV!B23,INV!F23*H17,IF(B23=INV!B24,INV!F24*H17,IF(B23=INV!B25,INV!F25*H17,IF(B23=INV!B26,INV!F26*H17,IF(B23=INV!B27,INV!F27*H17,IF(B23=INV!B28,INV!F28*H17,IF(B23=INV!B29,INV!F29*H17,IF(B23=INV!B30,INV!F30*H17,IF(B23=INV!B31,INV!F31*H17,IF(B23=INV!B32,INV!F32*H17,IF(B23=INV!B33,INV!F33*H17,IF(B23=INV!B34,INV!F34*H17,IF(B23=INV!B35,INV!F35*H17,IF(B23=INV!B36,INV!F36*H17,IF(B23=INV!B37,INV!F37*H17,IF(B23=INV!B38,INV!F38*H17,IF(B23=INV!B39,INV!F39*H17,IF(B23=INV!B40,INV!F40*H17,IF(B23=INV!B41,INV!F41*H17,IF(B23=INV!B42,INV!F42*H17,IF(B23=INV!B43,INV!F43*H17,IF(B23=INV!B44,INV!F44*H17,IF(B23=INV!B45,INV!F45*H17,IF(B23=INV!B46,INV!F46*H17,IF(B23=INV!B47,INV!F47*H17,IF(B23=INV!B48,INV!F48*H17,IF(B23=INV!B49,INV!F49*H17,IF(B23=INV!B50,INV!F50*H17,IF(B23=INV!B51,INV!F51*H17,IF(B23=INV!B52,INV!F52*H17,IF(B23=INV!B53,INV!F53*H17)))))))))))))))))))))))))))))))))))))))))))))))))))))</f>
        <v/>
      </c>
      <c r="H23" s="17" t="str">
        <f t="shared" si="0"/>
        <v/>
      </c>
      <c r="I23" s="17"/>
      <c r="J23" s="17"/>
      <c r="K23" s="17"/>
    </row>
    <row r="24" spans="2:11" ht="33.75" customHeight="1">
      <c r="B24" s="14"/>
      <c r="C24" s="15" t="str">
        <f>IF(B24="","",IF(B24=INV!B2,INV!C2,IF(B24=INV!B3,INV!C3,IF(B24=INV!B4,INV!C4,IF(B24=INV!B5,INV!C5,IF(B24=INV!B6,INV!C6,IF(B24=INV!B7,INV!C7,IF(B24=INV!B8,INV!C8,IF(B24=INV!B9,INV!C9,IF(B24=INV!B10,INV!C10,IF(B24=INV!B11,INV!C11,IF(B24=INV!B12,INV!C12,IF(B24=INV!B13,INV!C13,IF(B24=INV!B14,INV!C14,IF(B24=INV!B15,INV!C15,IF(B24=INV!B16,INV!C16,IF(B24=INV!B17,INV!C17,IF(B24=INV!B18,INV!C18,IF(B24=INV!B19,INV!C19,IF(B24=INV!B20,INV!C20,IF(B24=INV!B21,INV!C21,IF(B24=INV!B22,INV!C22,IF(B24=INV!B23,INV!C23,IF(B24=INV!B24,INV!C24,IF(B24=INV!B25,INV!C25,IF(B24=INV!B26,INV!C26,IF(B24=INV!B27,INV!C27,IF(B24=INV!B28,INV!C28,IF(B24=INV!B29,INV!C29,IF(B24=INV!B30,INV!C30,IF(B24=INV!B31,INV!C31,IF(B24=INV!B32,INV!C32,IF(B24=INV!B33,INV!C33,IF(B24=INV!B34,INV!C34,IF(B24=INV!B35,INV!C325,IF(B24=INV!B36,INV!C36,IF(B24=INV!B37,INV!C37,IF(B24=INV!B38,INV!C38,IF(B24=INV!B39,INV!C39,IF(B24=INV!B40,INV!C40,IF(B24=INV!B41,INV!C41,IF(B24=INV!B42,INV!C42,IF(B24=INV!B43,INV!C43,IF(B24=INV!B44,INV!C44,IF(B24=INV!B45,INV!C45,IF(B24=INV!B46,INV!C46,IF(B24=INV!B47,INV!C47,IF(B24=INV!B48,INV!C48,IF(B24=INV!B49,INV!C49,IF(B24=INV!B50,INV!C50,IF(B24=INV!B51,INV!C51,IF(B24=INV!B52,INV!C52,IF(B24=INV!B53,INV!C53,IF(B24=INV!B54,INV!C54))))))))))))))))))))))))))))))))))))))))))))))))))))))</f>
        <v/>
      </c>
      <c r="D24" s="52" t="str">
        <f>IF(C24="","",IF(C24=INV!C2,INV!D2,IF(C24=INV!C3,INV!D3,IF(C24=INV!C4,INV!D4,IF(C24=INV!C5,INV!D5,IF(C24=INV!C6,INV!D6,IF(C24=INV!C7,INV!D7,IF(C24=INV!C8,INV!D8,IF(C24=INV!C9,INV!D9,IF(C24=INV!C10,INV!D10,IF(C24=INV!C11,INV!D11,IF(C24=INV!C12,INV!D12,IF(C24=INV!C13,INV!D13,IF(C24=INV!C14,INV!D14,IF(C24=INV!C15,INV!D15,IF(C24=INV!C16,INV!D16,IF(C24=INV!C17,INV!D17,IF(C24=INV!C18,INV!D18,IF(C24=INV!C19,INV!D19,IF(C24=INV!C20,INV!D20,IF(C24=INV!C21,INV!D21,IF(C24=INV!C22,INV!D22,IF(C24=INV!C23,INV!D23,IF(C24=INV!C24,INV!D24,IF(C24=INV!C25,INV!D25,IF(C24=INV!C26,INV!D26,IF(C24=INV!C27,INV!D27,IF(C24=INV!C28,INV!D28,IF(C24=INV!C29,INV!D29,IF(C24=INV!C30,INV!D30,IF(C24=INV!C31,INV!D31,IF(C24=INV!C32,INV!D32,IF(C24=INV!C33,INV!D33,IF(C24=INV!C34,INV!D34,IF(C24=INV!C35,INV!D325,IF(C24=INV!C36,INV!D36,IF(C24=INV!C37,INV!D37,IF(C24=INV!C38,INV!D38,IF(C24=INV!C39,INV!D39,IF(C24=INV!C40,INV!D40,IF(C24=INV!C41,INV!D41,IF(C24=INV!C42,INV!D42,IF(C24=INV!C43,INV!D43,IF(C24=INV!C44,INV!D44,IF(C24=INV!C45,INV!D45,IF(C24=INV!C46,INV!D46,IF(C24=INV!C47,INV!D47,IF(C24=INV!C48,INV!D48,IF(C24=INV!C49,INV!D49,IF(C24=INV!C50,INV!D50,IF(C24=INV!C51,INV!D51,IF(C24=INV!C52,INV!D52,IF(C24=INV!C53,INV!D53,IF(C24=INV!C54,INV!D54))))))))))))))))))))))))))))))))))))))))))))))))))))))</f>
        <v/>
      </c>
      <c r="E24" s="52"/>
      <c r="F24" s="16"/>
      <c r="G24" s="17" t="str">
        <f>IF(B24="","",IF(B24=INV!B2,INV!F2*H17,IF(B24=INV!B3,INV!F3*H17,IF(B24=INV!B4,INV!F4*H17,IF(B24=INV!B5,INV!F5*H17,IF(B24=INV!B6,INV!F6*H17,IF(B24=INV!B7,INV!F7*H17,IF(B24=INV!B8,INV!F8*H17,IF(B24=INV!B9,INV!F9*H17,IF(B24=INV!B10,INV!F10*H17,IF(B24=INV!B11,INV!F11*H17,IF(B24=INV!B12,INV!F12*H17,IF(B24=INV!B13,INV!F13*H17,IF(B24=INV!B14,INV!F14*H17,IF(B24=INV!B15,INV!F15*H17,IF(B24=INV!B16,INV!F16*H17,IF(B24=INV!B17,INV!F17*H17,IF(B24=INV!B18,INV!F18*H17,IF(B24=INV!B19,INV!F19*H17,IF(B24=INV!B20,INV!F20*H17,IF(B24=INV!B21,INV!F21*H17,IF(B24=INV!B22,INV!F22*H17,IF(B24=INV!B23,INV!F23*H17,IF(B24=INV!B24,INV!F24*H17,IF(B24=INV!B25,INV!F25*H17,IF(B24=INV!B26,INV!F26*H17,IF(B24=INV!B27,INV!F27*H17,IF(B24=INV!B28,INV!F28*H17,IF(B24=INV!B29,INV!F29*H17,IF(B24=INV!B30,INV!F30*H17,IF(B24=INV!B31,INV!F31*H17,IF(B24=INV!B32,INV!F32*H17,IF(B24=INV!B33,INV!F33*H17,IF(B24=INV!B34,INV!F34*H17,IF(B24=INV!B35,INV!F35*H17,IF(B24=INV!B36,INV!F36*H17,IF(B24=INV!B37,INV!F37*H17,IF(B24=INV!B38,INV!F38*H17,IF(B24=INV!B39,INV!F39*H17,IF(B24=INV!B40,INV!F40*H17,IF(B24=INV!B41,INV!F41*H17,IF(B24=INV!B42,INV!F42*H17,IF(B24=INV!B43,INV!F43*H17,IF(B24=INV!B44,INV!F44*H17,IF(B24=INV!B45,INV!F45*H17,IF(B24=INV!B46,INV!F46*H17,IF(B24=INV!B47,INV!F47*H17,IF(B24=INV!B48,INV!F48*H17,IF(B24=INV!B49,INV!F49*H17,IF(B24=INV!B50,INV!F50*H17,IF(B24=INV!B51,INV!F51*H17,IF(B24=INV!B52,INV!F52*H17,IF(B24=INV!B53,INV!F53*H17,IF(B24=INV!B54,INV!F54*H17))))))))))))))))))))))))))))))))))))))))))))))))))))))</f>
        <v/>
      </c>
      <c r="H24" s="17" t="str">
        <f t="shared" si="0"/>
        <v/>
      </c>
      <c r="I24" s="17"/>
      <c r="J24" s="17"/>
      <c r="K24" s="17"/>
    </row>
    <row r="25" spans="2:11" ht="33.75" customHeight="1">
      <c r="B25" s="14"/>
      <c r="C25" s="15" t="str">
        <f>IF(B25="","",IF(B25=INV!B2,INV!C2,IF(B25=INV!B3,INV!C3,IF(B25=INV!B4,INV!C4,IF(B25=INV!B5,INV!C5,IF(B25=INV!B6,INV!C6,IF(B25=INV!B7,INV!C7,IF(B25=INV!B8,INV!C8,IF(B25=INV!B9,INV!C9,IF(B25=INV!B10,INV!C10,IF(B25=INV!B11,INV!C11,IF(B25=INV!B12,INV!C12,IF(B25=INV!B13,INV!C13,IF(B25=INV!B14,INV!C14,IF(B25=INV!B15,INV!C15,IF(B25=INV!B16,INV!C16,IF(B25=INV!B17,INV!C17,IF(B25=INV!B18,INV!C18,IF(B25=INV!B19,INV!C19,IF(B25=INV!B20,INV!C20,IF(B25=INV!B21,INV!C21,IF(B25=INV!B22,INV!C22,IF(B25=INV!B23,INV!C23,IF(B25=INV!B24,INV!C24,IF(B25=INV!B25,INV!C25,IF(B25=INV!B26,INV!C26,IF(B25=INV!B27,INV!C27,IF(B25=INV!B28,INV!C28,IF(B25=INV!B29,INV!C29,IF(B25=INV!B30,INV!C30,IF(B25=INV!B31,INV!C31,IF(B25=INV!B32,INV!C32,IF(B25=INV!B33,INV!C33,IF(B25=INV!B34,INV!C34,IF(B25=INV!B35,INV!C35,IF(B25=INV!B36,INV!C326,IF(B25=INV!B37,INV!C37,IF(B25=INV!B38,INV!C38,IF(B25=INV!B39,INV!C39,IF(B25=INV!B40,INV!C40,IF(B25=INV!B41,INV!C41,IF(B25=INV!B42,INV!C42,IF(B25=INV!B43,INV!C43,IF(B25=INV!B44,INV!C44,IF(B25=INV!B45,INV!C45,IF(B25=INV!B46,INV!C46,IF(B25=INV!B47,INV!C47,IF(B25=INV!B48,INV!C48,IF(B25=INV!B49,INV!C49,IF(B25=INV!B50,INV!C50,IF(B25=INV!B51,INV!C51,IF(B25=INV!B52,INV!C52,IF(B25=INV!B53,INV!C53,IF(B25=INV!B54,INV!C54,IF(B25=INV!B55,INV!C55)))))))))))))))))))))))))))))))))))))))))))))))))))))))</f>
        <v/>
      </c>
      <c r="D25" s="52" t="str">
        <f>IF(C25="","",IF(C25=INV!C2,INV!D2,IF(C25=INV!C3,INV!D3,IF(C25=INV!C4,INV!D4,IF(C25=INV!C5,INV!D5,IF(C25=INV!C6,INV!D6,IF(C25=INV!C7,INV!D7,IF(C25=INV!C8,INV!D8,IF(C25=INV!C9,INV!D9,IF(C25=INV!C10,INV!D10,IF(C25=INV!C11,INV!D11,IF(C25=INV!C12,INV!D12,IF(C25=INV!C13,INV!D13,IF(C25=INV!C14,INV!D14,IF(C25=INV!C15,INV!D15,IF(C25=INV!C16,INV!D16,IF(C25=INV!C17,INV!D17,IF(C25=INV!C18,INV!D18,IF(C25=INV!C19,INV!D19,IF(C25=INV!C20,INV!D20,IF(C25=INV!C21,INV!D21,IF(C25=INV!C22,INV!D22,IF(C25=INV!C23,INV!D23,IF(C25=INV!C24,INV!D24,IF(C25=INV!C25,INV!D25,IF(C25=INV!C26,INV!D26,IF(C25=INV!C27,INV!D27,IF(C25=INV!C28,INV!D28,IF(C25=INV!C29,INV!D29,IF(C25=INV!C30,INV!D30,IF(C25=INV!C31,INV!D31,IF(C25=INV!C32,INV!D32,IF(C25=INV!C33,INV!D33,IF(C25=INV!C34,INV!D34,IF(C25=INV!C35,INV!D35,IF(C25=INV!C36,INV!D326,IF(C25=INV!C37,INV!D37,IF(C25=INV!C38,INV!D38,IF(C25=INV!C39,INV!D39,IF(C25=INV!C40,INV!D40,IF(C25=INV!C41,INV!D41,IF(C25=INV!C42,INV!D42,IF(C25=INV!C43,INV!D43,IF(C25=INV!C44,INV!D44,IF(C25=INV!C45,INV!D45,IF(C25=INV!C46,INV!D46,IF(C25=INV!C47,INV!D47,IF(C25=INV!C48,INV!D48,IF(C25=INV!C49,INV!D49,IF(C25=INV!C50,INV!D50,IF(C25=INV!C51,INV!D51,IF(C25=INV!C52,INV!D52,IF(C25=INV!C53,INV!D53,IF(C25=INV!C54,INV!D54,IF(C25=INV!C55,INV!D55)))))))))))))))))))))))))))))))))))))))))))))))))))))))</f>
        <v/>
      </c>
      <c r="E25" s="52"/>
      <c r="F25" s="16"/>
      <c r="G25" s="17" t="str">
        <f>IF(B25="","",IF(B25=INV!B2,INV!F2*H17,IF(B25=INV!B3,INV!F3*H17,IF(B25=INV!B4,INV!F4*H17,IF(B25=INV!B5,INV!F5*H17,IF(B25=INV!B6,INV!F6*H17,IF(B25=INV!B7,INV!F7*H17,IF(B25=INV!B8,INV!F8*H17,IF(B25=INV!B9,INV!F9*H17,IF(B25=INV!B10,INV!F10*H17,IF(B25=INV!B11,INV!F11*H17,IF(B25=INV!B12,INV!F12*H17,IF(B25=INV!B13,INV!F13*H17,IF(B25=INV!B14,INV!F14*H17,IF(B25=INV!B15,INV!F15*H17,IF(B25=INV!B16,INV!F16*H17,IF(B25=INV!B17,INV!F17*H17,IF(B25=INV!B18,INV!F18*H17,IF(B25=INV!B19,INV!F19*H17,IF(B25=INV!B20,INV!F20*H17,IF(B25=INV!B21,INV!F21*H17,IF(B25=INV!B22,INV!F22*H17,IF(B25=INV!B23,INV!F23*H17,IF(B25=INV!B24,INV!F24*H17,IF(B25=INV!B25,INV!F25*H17,IF(B25=INV!B26,INV!F26*H17,IF(B25=INV!B27,INV!F27*H17,IF(B25=INV!B28,INV!F28*H17,IF(B25=INV!B29,INV!F29*H17,IF(B25=INV!B30,INV!F30*H17,IF(B25=INV!B31,INV!F31*H17,IF(B25=INV!B32,INV!F32*H17,IF(B25=INV!B33,INV!F33*H17,IF(B25=INV!B34,INV!F34*H17,IF(B25=INV!B35,INV!F35*H17,IF(B25=INV!B36,INV!F36*H17,IF(B25=INV!B37,INV!F37*H17,IF(B25=INV!B38,INV!F38*H17,IF(B25=INV!B39,INV!F39*H17,IF(B25=INV!B40,INV!F40*H17,IF(B25=INV!B41,INV!F41*H17,IF(B25=INV!B42,INV!F42*H17,IF(B25=INV!B43,INV!F43*H17,IF(B25=INV!B44,INV!F44*H17,IF(B25=INV!B45,INV!F45*H17,IF(B25=INV!B46,INV!F46*H17,IF(B25=INV!B47,INV!F47*H17,IF(B25=INV!B48,INV!F48*H17,IF(B25=INV!B49,INV!F49*H17,IF(B25=INV!B50,INV!F50*H17,IF(B25=INV!B51,INV!F51*H17,IF(B25=INV!B52,INV!F52*H17,IF(B25=INV!B53,INV!F53*H17,IF(B25=INV!B54,INV!F54*H17,IF(B25=INV!B55,INV!F55*H17)))))))))))))))))))))))))))))))))))))))))))))))))))))))</f>
        <v/>
      </c>
      <c r="H25" s="17" t="str">
        <f t="shared" si="0"/>
        <v/>
      </c>
      <c r="I25" s="17"/>
      <c r="J25" s="17"/>
      <c r="K25" s="17"/>
    </row>
    <row r="26" spans="2:11" ht="33.75" customHeight="1">
      <c r="B26" s="14"/>
      <c r="C26" s="15" t="str">
        <f>IF(B26="","",IF(B26=INV!B2,INV!C2,IF(B26=INV!B3,INV!C3,IF(B26=INV!B4,INV!C4,IF(B26=INV!B5,INV!C5,IF(B26=INV!B6,INV!C6,IF(B26=INV!B7,INV!C7,IF(B26=INV!B8,INV!C8,IF(B26=INV!B9,INV!C9,IF(B26=INV!B10,INV!C10,IF(B26=INV!B11,INV!C11,IF(B26=INV!B12,INV!C12,IF(B26=INV!B13,INV!C13,IF(B26=INV!B14,INV!C14,IF(B26=INV!B15,INV!C15,IF(B26=INV!B16,INV!C16,IF(B26=INV!B17,INV!C17,IF(B26=INV!B18,INV!C18,IF(B26=INV!B19,INV!C19,IF(B26=INV!B20,INV!C20,IF(B26=INV!B21,INV!C21,IF(B26=INV!B22,INV!C22,IF(B26=INV!B23,INV!C23,IF(B26=INV!B24,INV!C24,IF(B26=INV!B25,INV!C25,IF(B26=INV!B26,INV!C26,IF(B26=INV!B27,INV!C27,IF(B26=INV!B28,INV!C28,IF(B26=INV!B29,INV!C29,IF(B26=INV!B30,INV!C30,IF(B26=INV!B31,INV!C31,IF(B26=INV!B32,INV!C32,IF(B26=INV!B33,INV!C33,IF(B26=INV!B34,INV!C34,IF(B26=INV!B35,INV!C35,IF(B26=INV!B36,INV!C36,IF(B26=INV!B37,INV!C327,IF(B26=INV!B38,INV!C38,IF(B26=INV!B39,INV!C39,IF(B26=INV!B40,INV!C40,IF(B26=INV!B41,INV!C41,IF(B26=INV!B42,INV!C42,IF(B26=INV!B43,INV!C43,IF(B26=INV!B44,INV!C44,IF(B26=INV!B45,INV!C45,IF(B26=INV!B46,INV!C46,IF(B26=INV!B47,INV!C47,IF(B26=INV!B48,INV!C48,IF(B26=INV!B49,INV!C49,IF(B26=INV!B50,INV!C50,IF(B26=INV!B51,INV!C51,IF(B26=INV!B52,INV!C52,IF(B26=INV!B53,INV!C53,IF(B26=INV!B54,INV!C54,IF(B26=INV!B55,INV!C55,IF(B26=INV!B56,INV!C56))))))))))))))))))))))))))))))))))))))))))))))))))))))))</f>
        <v/>
      </c>
      <c r="D26" s="52" t="str">
        <f>IF(C26="","",IF(C26=INV!C2,INV!D2,IF(C26=INV!C3,INV!D3,IF(C26=INV!C4,INV!D4,IF(C26=INV!C5,INV!D5,IF(C26=INV!C6,INV!D6,IF(C26=INV!C7,INV!D7,IF(C26=INV!C8,INV!D8,IF(C26=INV!C9,INV!D9,IF(C26=INV!C10,INV!D10,IF(C26=INV!C11,INV!D11,IF(C26=INV!C12,INV!D12,IF(C26=INV!C13,INV!D13,IF(C26=INV!C14,INV!D14,IF(C26=INV!C15,INV!D15,IF(C26=INV!C16,INV!D16,IF(C26=INV!C17,INV!D17,IF(C26=INV!C18,INV!D18,IF(C26=INV!C19,INV!D19,IF(C26=INV!C20,INV!D20,IF(C26=INV!C21,INV!D21,IF(C26=INV!C22,INV!D22,IF(C26=INV!C23,INV!D23,IF(C26=INV!C24,INV!D24,IF(C26=INV!C25,INV!D25,IF(C26=INV!C26,INV!D26,IF(C26=INV!C27,INV!D27,IF(C26=INV!C28,INV!D28,IF(C26=INV!C29,INV!D29,IF(C26=INV!C30,INV!D30,IF(C26=INV!C31,INV!D31,IF(C26=INV!C32,INV!D32,IF(C26=INV!C33,INV!D33,IF(C26=INV!C34,INV!D34,IF(C26=INV!C35,INV!D35,IF(C26=INV!C36,INV!D36,IF(C26=INV!C37,INV!D327,IF(C26=INV!C38,INV!D38,IF(C26=INV!C39,INV!D39,IF(C26=INV!C40,INV!D40,IF(C26=INV!C41,INV!D41,IF(C26=INV!C42,INV!D42,IF(C26=INV!C43,INV!D43,IF(C26=INV!C44,INV!D44,IF(C26=INV!C45,INV!D45,IF(C26=INV!C46,INV!D46,IF(C26=INV!C47,INV!D47,IF(C26=INV!C48,INV!D48,IF(C26=INV!C49,INV!D49,IF(C26=INV!C50,INV!D50,IF(C26=INV!C51,INV!D51,IF(C26=INV!C52,INV!D52,IF(C26=INV!C53,INV!D53,IF(C26=INV!C54,INV!D54,IF(C26=INV!C55,INV!D55,IF(C26=INV!C56,INV!D56))))))))))))))))))))))))))))))))))))))))))))))))))))))))</f>
        <v/>
      </c>
      <c r="E26" s="52"/>
      <c r="F26" s="16"/>
      <c r="G26" s="17" t="str">
        <f>IF(B26="","",IF(B26=INV!B2,INV!F2*H17,IF(B26=INV!B3,INV!F3*H17,IF(B26=INV!B4,INV!F4*H17,IF(B26=INV!B5,INV!F5*H17,IF(B26=INV!B6,INV!F6*H17,IF(B26=INV!B7,INV!F7*H17,IF(B26=INV!B8,INV!F8*H17,IF(B26=INV!B9,INV!F9*H17,IF(B26=INV!B10,INV!F10*H17,IF(B26=INV!B11,INV!F11*H17,IF(B26=INV!B12,INV!F12*H17,IF(B26=INV!B13,INV!F13*H17,IF(B26=INV!B14,INV!F14*H17,IF(B26=INV!B15,INV!F15*H17,IF(B26=INV!B16,INV!F16*H17,IF(B26=INV!B17,INV!F17*H17,IF(B26=INV!B18,INV!F18*H17,IF(B26=INV!B19,INV!F19*H17,IF(B26=INV!B20,INV!F20*H17,IF(B26=INV!B21,INV!F21*H17,IF(B26=INV!B22,INV!F22*H17,IF(B26=INV!B23,INV!F23*H17,IF(B26=INV!B24,INV!F24*H17,IF(B26=INV!B25,INV!F25*H17,IF(B26=INV!B26,INV!F26*H17,IF(B26=INV!B27,INV!F27*H17,IF(B26=INV!B28,INV!F28*H17,IF(B26=INV!B29,INV!F29*H17,IF(B26=INV!B30,INV!F30*H17,IF(B26=INV!B31,INV!F31*H17,IF(B26=INV!B32,INV!F32*H17,IF(B26=INV!B33,INV!F33*H17,IF(B26=INV!B34,INV!F34*H17,IF(B26=INV!B35,INV!F35*H17,IF(B26=INV!B36,INV!F36*H17,IF(B26=INV!B37,INV!F37*H17,IF(B26=INV!B38,INV!F38*H17,IF(B26=INV!B39,INV!F39*H17,IF(B26=INV!B40,INV!F40*H17,IF(B26=INV!B41,INV!F41*H17,IF(B26=INV!B42,INV!F42*H17,IF(B26=INV!B43,INV!F43*H17,IF(B26=INV!B44,INV!F44*H17,IF(B26=INV!B45,INV!F45*H17,IF(B26=INV!B46,INV!F46*H17,IF(B26=INV!B47,INV!F47*H17,IF(B26=INV!B48,INV!F48*H17,IF(B26=INV!B49,INV!F49*H17,IF(B26=INV!B50,INV!F50*H17,IF(B26=INV!B51,INV!F51*H17,IF(B26=INV!B52,INV!F52*H17,IF(B26=INV!B53,INV!F53*H17,IF(B26=INV!B54,INV!F54*H17,IF(B26=INV!B55,INV!F55*H17,IF(B26=INV!B56,INV!F56*H17))))))))))))))))))))))))))))))))))))))))))))))))))))))))</f>
        <v/>
      </c>
      <c r="H26" s="17" t="str">
        <f t="shared" si="0"/>
        <v/>
      </c>
      <c r="I26" s="17"/>
      <c r="J26" s="17"/>
      <c r="K26" s="17"/>
    </row>
    <row r="27" spans="2:11" ht="33.75" customHeight="1">
      <c r="B27" s="14"/>
      <c r="C27" s="15" t="str">
        <f>IF(B27="","",IF(B27=INV!B2,INV!C2,IF(B27=INV!B3,INV!C3,IF(B27=INV!B4,INV!C4,IF(B27=INV!B5,INV!C5,IF(B27=INV!B6,INV!C6,IF(B27=INV!B7,INV!C7,IF(B27=INV!B8,INV!C8,IF(B27=INV!B9,INV!C9,IF(B27=INV!B10,INV!C10,IF(B27=INV!B11,INV!C11,IF(B27=INV!B12,INV!C12,IF(B27=INV!B13,INV!C13,IF(B27=INV!B14,INV!C14,IF(B27=INV!B15,INV!C15,IF(B27=INV!B16,INV!C16,IF(B27=INV!B17,INV!C17,IF(B27=INV!B18,INV!C18,IF(B27=INV!B19,INV!C19,IF(B27=INV!B20,INV!C20,IF(B27=INV!B21,INV!C21,IF(B27=INV!B22,INV!C22,IF(B27=INV!B23,INV!C23,IF(B27=INV!B24,INV!C24,IF(B27=INV!B25,INV!C25,IF(B27=INV!B26,INV!C26,IF(B27=INV!B27,INV!C27,IF(B27=INV!B28,INV!C28,IF(B27=INV!B29,INV!C29,IF(B27=INV!B30,INV!C30,IF(B27=INV!B31,INV!C31,IF(B27=INV!B32,INV!C32,IF(B27=INV!B33,INV!C33,IF(B27=INV!B34,INV!C34,IF(B27=INV!B35,INV!C35,IF(B27=INV!B36,INV!C36,IF(B27=INV!B37,INV!C37,IF(B27=INV!B38,INV!C328,IF(B27=INV!B39,INV!C39,IF(B27=INV!B40,INV!C40,IF(B27=INV!B41,INV!C41,IF(B27=INV!B42,INV!C42,IF(B27=INV!B43,INV!C43,IF(B27=INV!B44,INV!C44,IF(B27=INV!B45,INV!C45,IF(B27=INV!B46,INV!C46,IF(B27=INV!B47,INV!C47,IF(B27=INV!B48,INV!C48,IF(B27=INV!B49,INV!C49,IF(B27=INV!B50,INV!C50,IF(B27=INV!B51,INV!C51,IF(B27=INV!B52,INV!C52,IF(B27=INV!B53,INV!C53,IF(B27=INV!B54,INV!C54,IF(B27=INV!B55,INV!C55,IF(B27=INV!B56,INV!C56,IF(B27=INV!B57,INV!C57)))))))))))))))))))))))))))))))))))))))))))))))))))))))))</f>
        <v/>
      </c>
      <c r="D27" s="52" t="str">
        <f>IF(C27="","",IF(C27=INV!C2,INV!D2,IF(C27=INV!C3,INV!D3,IF(C27=INV!C4,INV!D4,IF(C27=INV!C5,INV!D5,IF(C27=INV!C6,INV!D6,IF(C27=INV!C7,INV!D7,IF(C27=INV!C8,INV!D8,IF(C27=INV!C9,INV!D9,IF(C27=INV!C10,INV!D10,IF(C27=INV!C11,INV!D11,IF(C27=INV!C12,INV!D12,IF(C27=INV!C13,INV!D13,IF(C27=INV!C14,INV!D14,IF(C27=INV!C15,INV!D15,IF(C27=INV!C16,INV!D16,IF(C27=INV!C17,INV!D17,IF(C27=INV!C18,INV!D18,IF(C27=INV!C19,INV!D19,IF(C27=INV!C20,INV!D20,IF(C27=INV!C21,INV!D21,IF(C27=INV!C22,INV!D22,IF(C27=INV!C23,INV!D23,IF(C27=INV!C24,INV!D24,IF(C27=INV!C25,INV!D25,IF(C27=INV!C26,INV!D26,IF(C27=INV!C27,INV!D27,IF(C27=INV!C28,INV!D28,IF(C27=INV!C29,INV!D29,IF(C27=INV!C30,INV!D30,IF(C27=INV!C31,INV!D31,IF(C27=INV!C32,INV!D32,IF(C27=INV!C33,INV!D33,IF(C27=INV!C34,INV!D34,IF(C27=INV!C35,INV!D35,IF(C27=INV!C36,INV!D36,IF(C27=INV!C37,INV!D37,IF(C27=INV!C38,INV!D328,IF(C27=INV!C39,INV!D39,IF(C27=INV!C40,INV!D40,IF(C27=INV!C41,INV!D41,IF(C27=INV!C42,INV!D42,IF(C27=INV!C43,INV!D43,IF(C27=INV!C44,INV!D44,IF(C27=INV!C45,INV!D45,IF(C27=INV!C46,INV!D46,IF(C27=INV!C47,INV!D47,IF(C27=INV!C48,INV!D48,IF(C27=INV!C49,INV!D49,IF(C27=INV!C50,INV!D50,IF(C27=INV!C51,INV!D51,IF(C27=INV!C52,INV!D52,IF(C27=INV!C53,INV!D53,IF(C27=INV!C54,INV!D54,IF(C27=INV!C55,INV!D55,IF(C27=INV!C56,INV!D56,IF(C27=INV!C57,INV!D57)))))))))))))))))))))))))))))))))))))))))))))))))))))))))</f>
        <v/>
      </c>
      <c r="E27" s="52"/>
      <c r="F27" s="16"/>
      <c r="G27" s="17" t="str">
        <f>IF(B27="","",IF(B27=INV!B2,INV!F2*H17,IF(B27=INV!B3,INV!F3*H17,IF(B27=INV!B4,INV!F4*H17,IF(B27=INV!B5,INV!F5*H17,IF(B27=INV!B6,INV!F6*H17,IF(B27=INV!B7,INV!F7*H17,IF(B27=INV!B8,INV!F8*H17,IF(B27=INV!B9,INV!F9*H17,IF(B27=INV!B10,INV!F10*H17,IF(B27=INV!B11,INV!F11*H17,IF(B27=INV!B12,INV!F12*H17,IF(B27=INV!B13,INV!F13*H17,IF(B27=INV!B14,INV!F14*H17,IF(B27=INV!B15,INV!F15*H17,IF(B27=INV!B16,INV!F16*H17,IF(B27=INV!B17,INV!F17*H17,IF(B27=INV!B18,INV!F18*H17,IF(B27=INV!B19,INV!F19*H17,IF(B27=INV!B20,INV!F20*H17,IF(B27=INV!B21,INV!F21*H17,IF(B27=INV!B22,INV!F22*H17,IF(B27=INV!B23,INV!F23*H17,IF(B27=INV!B24,INV!F24*H17,IF(B27=INV!B25,INV!F25*H17,IF(B27=INV!B26,INV!F26*H17,IF(B27=INV!B27,INV!F27*H17,IF(B27=INV!B28,INV!F28*H17,IF(B27=INV!B29,INV!F29*H17,IF(B27=INV!B30,INV!F30*H17,IF(B27=INV!B31,INV!F31*H17,IF(B27=INV!B32,INV!F32*H17,IF(B27=INV!B33,INV!F33*H17,IF(B27=INV!B34,INV!F34*H17,IF(B27=INV!B35,INV!F35*H17,IF(B27=INV!B36,INV!F36*H17,IF(B27=INV!B37,INV!F37*H17,IF(B27=INV!B38,INV!F38*H17,IF(B27=INV!B39,INV!F39*H17,IF(B27=INV!B40,INV!F40*H17,IF(B27=INV!B41,INV!F41*H17,IF(B27=INV!B42,INV!F42*H17,IF(B27=INV!B43,INV!F43*H17,IF(B27=INV!B44,INV!F44*H17,IF(B27=INV!B45,INV!F45*H17,IF(B27=INV!B46,INV!F46*H17,IF(B27=INV!B47,INV!F47*H17,IF(B27=INV!B48,INV!F48*H17,IF(B27=INV!B49,INV!F49*H17,IF(B27=INV!B50,INV!F50*H17,IF(B27=INV!B51,INV!F51*H17,IF(B27=INV!B52,INV!F52*H17,IF(B27=INV!B53,INV!F53*H17,IF(B27=INV!B54,INV!F54*H17,IF(B27=INV!B55,INV!F55*H17,IF(B27=INV!B56,INV!F56*H17,IF(B27=INV!B57,INV!F57*H17)))))))))))))))))))))))))))))))))))))))))))))))))))))))))</f>
        <v/>
      </c>
      <c r="H27" s="17" t="str">
        <f t="shared" si="0"/>
        <v/>
      </c>
      <c r="I27" s="17"/>
      <c r="J27" s="17"/>
      <c r="K27" s="17"/>
    </row>
    <row r="28" spans="2:11" ht="33.75" customHeight="1">
      <c r="B28" s="14"/>
      <c r="C28" s="15" t="str">
        <f>IF(B28="","",IF(B28=INV!B2,INV!C2,IF(B28=INV!B3,INV!C3,IF(B28=INV!B4,INV!C4,IF(B28=INV!B5,INV!C5,IF(B28=INV!B6,INV!C6,IF(B28=INV!B7,INV!C7,IF(B28=INV!B8,INV!C8,IF(B28=INV!B9,INV!C9,IF(B28=INV!B10,INV!C10,IF(B28=INV!B11,INV!C11,IF(B28=INV!B12,INV!C12,IF(B28=INV!B13,INV!C13,IF(B28=INV!B14,INV!C14,IF(B28=INV!B15,INV!C15,IF(B28=INV!B16,INV!C16,IF(B28=INV!B17,INV!C17,IF(B28=INV!B18,INV!C18,IF(B28=INV!B19,INV!C19,IF(B28=INV!B20,INV!C20,IF(B28=INV!B21,INV!C21,IF(B28=INV!B22,INV!C22,IF(B28=INV!B23,INV!C23,IF(B28=INV!B24,INV!C24,IF(B28=INV!B25,INV!C25,IF(B28=INV!B26,INV!C26,IF(B28=INV!B27,INV!C27,IF(B28=INV!B28,INV!C28,IF(B28=INV!B29,INV!C29,IF(B28=INV!B30,INV!C30,IF(B28=INV!B31,INV!C31,IF(B28=INV!B32,INV!C32,IF(B28=INV!B33,INV!C33,IF(B28=INV!B34,INV!C34,IF(B28=INV!B35,INV!C35,IF(B28=INV!B36,INV!C36,IF(B28=INV!B37,INV!C37,IF(B28=INV!B38,INV!C38,IF(B28=INV!B39,INV!C329,IF(B28=INV!B40,INV!C40,IF(B28=INV!B41,INV!C41,IF(B28=INV!B42,INV!C42,IF(B28=INV!B43,INV!C43,IF(B28=INV!B44,INV!C44,IF(B28=INV!B45,INV!C45,IF(B28=INV!B46,INV!C46,IF(B28=INV!B47,INV!C47,IF(B28=INV!B48,INV!C48,IF(B28=INV!B49,INV!C49,IF(B28=INV!B50,INV!C50,IF(B28=INV!B51,INV!C51,IF(B28=INV!B52,INV!C52,IF(B28=INV!B53,INV!C53,IF(B28=INV!B54,INV!C54,IF(B28=INV!B55,INV!C55,IF(B28=INV!B56,INV!C56,IF(B28=INV!B57,INV!C57,IF(B28=INV!B58,INV!C58))))))))))))))))))))))))))))))))))))))))))))))))))))))))))</f>
        <v/>
      </c>
      <c r="D28" s="52" t="str">
        <f>IF(C28="","",IF(C28=INV!C2,INV!D2,IF(C28=INV!C3,INV!D3,IF(C28=INV!C4,INV!D4,IF(C28=INV!C5,INV!D5,IF(C28=INV!C6,INV!D6,IF(C28=INV!C7,INV!D7,IF(C28=INV!C8,INV!D8,IF(C28=INV!C9,INV!D9,IF(C28=INV!C10,INV!D10,IF(C28=INV!C11,INV!D11,IF(C28=INV!C12,INV!D12,IF(C28=INV!C13,INV!D13,IF(C28=INV!C14,INV!D14,IF(C28=INV!C15,INV!D15,IF(C28=INV!C16,INV!D16,IF(C28=INV!C17,INV!D17,IF(C28=INV!C18,INV!D18,IF(C28=INV!C19,INV!D19,IF(C28=INV!C20,INV!D20,IF(C28=INV!C21,INV!D21,IF(C28=INV!C22,INV!D22,IF(C28=INV!C23,INV!D23,IF(C28=INV!C24,INV!D24,IF(C28=INV!C25,INV!D25,IF(C28=INV!C26,INV!D26,IF(C28=INV!C27,INV!D27,IF(C28=INV!C28,INV!D28,IF(C28=INV!C29,INV!D29,IF(C28=INV!C30,INV!D30,IF(C28=INV!C31,INV!D31,IF(C28=INV!C32,INV!D32,IF(C28=INV!C33,INV!D33,IF(C28=INV!C34,INV!D34,IF(C28=INV!C35,INV!D35,IF(C28=INV!C36,INV!D36,IF(C28=INV!C37,INV!D37,IF(C28=INV!C38,INV!D38,IF(C28=INV!C39,INV!D329,IF(C28=INV!C40,INV!D40,IF(C28=INV!C41,INV!D41,IF(C28=INV!C42,INV!D42,IF(C28=INV!C43,INV!D43,IF(C28=INV!C44,INV!D44,IF(C28=INV!C45,INV!D45,IF(C28=INV!C46,INV!D46,IF(C28=INV!C47,INV!D47,IF(C28=INV!C48,INV!D48,IF(C28=INV!C49,INV!D49,IF(C28=INV!C50,INV!D50,IF(C28=INV!C51,INV!D51,IF(C28=INV!C52,INV!D52,IF(C28=INV!C53,INV!D53,IF(C28=INV!C54,INV!D54,IF(C28=INV!C55,INV!D55,IF(C28=INV!C56,INV!D56,IF(C28=INV!C57,INV!D57,IF(C28=INV!C58,INV!D58))))))))))))))))))))))))))))))))))))))))))))))))))))))))))</f>
        <v/>
      </c>
      <c r="E28" s="52"/>
      <c r="F28" s="16"/>
      <c r="G28" s="17" t="str">
        <f>IF(B28="","",IF(B28=INV!B2,INV!F2*H17,IF(B28=INV!B3,INV!F3*H17,IF(B28=INV!B4,INV!F4*H17,IF(B28=INV!B5,INV!F5*H17,IF(B28=INV!B6,INV!F6*H17,IF(B28=INV!B7,INV!F7*H17,IF(B28=INV!B8,INV!F8*H17,IF(B28=INV!B9,INV!F9*H17,IF(B28=INV!B10,INV!F10*H17,IF(B28=INV!B11,INV!F11*H17,IF(B28=INV!B12,INV!F12*H17,IF(B28=INV!B13,INV!F13*H17,IF(B28=INV!B14,INV!F14*H17,IF(B28=INV!B15,INV!F15*H17,IF(B28=INV!B16,INV!F16*H17,IF(B28=INV!B17,INV!F17*H17,IF(B28=INV!B18,INV!F18*H17,IF(B28=INV!B19,INV!F19*H17,IF(B28=INV!B20,INV!F20*H17,IF(B28=INV!B21,INV!F21*H17,IF(B28=INV!B22,INV!F22*H17,IF(B28=INV!B23,INV!F23*H17,IF(B28=INV!B24,INV!F24*H17,IF(B28=INV!B25,INV!F25*H17,IF(B28=INV!B26,INV!F26*H17,IF(B28=INV!B27,INV!F27*H17,IF(B28=INV!B28,INV!F28*H17,IF(B28=INV!B29,INV!F29*H17,IF(B28=INV!B30,INV!F30*H17,IF(B28=INV!B31,INV!F31*H17,IF(B28=INV!B32,INV!F32*H17,IF(B28=INV!B33,INV!F33*H17,IF(B28=INV!B34,INV!F34*H17,IF(B28=INV!B35,INV!F35*H17,IF(B28=INV!B36,INV!F36*H17,IF(B28=INV!B37,INV!F37*H17,IF(B28=INV!B38,INV!F38*H17,IF(B28=INV!B39,INV!F39*H17,IF(B28=INV!B40,INV!F40*H17,IF(B28=INV!B41,INV!F41*H17,IF(B28=INV!B42,INV!F42*H17,IF(B28=INV!B43,INV!F43*H17,IF(B28=INV!B44,INV!F44*H17,IF(B28=INV!B45,INV!F45*H17,IF(B28=INV!B46,INV!F46*H17,IF(B28=INV!B47,INV!F47*H17,IF(B28=INV!B48,INV!F48*H17,IF(B28=INV!B49,INV!F49*H17,IF(B28=INV!B50,INV!F50*H17,IF(B28=INV!B51,INV!F51*H17,IF(B28=INV!B52,INV!F52*H17,IF(B28=INV!B53,INV!F53*H17,IF(B28=INV!B54,INV!F54*H17,IF(B28=INV!B55,INV!F55*H17,IF(B28=INV!B56,INV!F56*H17,IF(B28=INV!B57,INV!F57*H17,IF(B28=INV!B58,INV!F58*H17))))))))))))))))))))))))))))))))))))))))))))))))))))))))))</f>
        <v/>
      </c>
      <c r="H28" s="17" t="str">
        <f t="shared" si="0"/>
        <v/>
      </c>
      <c r="I28" s="17"/>
      <c r="J28" s="17"/>
      <c r="K28" s="17"/>
    </row>
    <row r="29" spans="2:11" ht="33.75" customHeight="1">
      <c r="B29" s="14"/>
      <c r="C29" s="15" t="str">
        <f>IF(B29="","",IF(B29=INV!B2,INV!C2,IF(B29=INV!B3,INV!C3,IF(B29=INV!B4,INV!C4,IF(B29=INV!B5,INV!C5,IF(B29=INV!B6,INV!C6,IF(B29=INV!B7,INV!C7,IF(B29=INV!B8,INV!C8,IF(B29=INV!B9,INV!C9,IF(B29=INV!B10,INV!C10,IF(B29=INV!B11,INV!C11,IF(B29=INV!B12,INV!C12,IF(B29=INV!B13,INV!C13,IF(B29=INV!B14,INV!C14,IF(B29=INV!B15,INV!C15,IF(B29=INV!B16,INV!C16,IF(B29=INV!B17,INV!C17,IF(B29=INV!B18,INV!C18,IF(B29=INV!B19,INV!C19,IF(B29=INV!B20,INV!C20,IF(B29=INV!B21,INV!C21,IF(B29=INV!B22,INV!C22,IF(B29=INV!B23,INV!C23,IF(B29=INV!B24,INV!C24,IF(B29=INV!B25,INV!C25,IF(B29=INV!B26,INV!C26,IF(B29=INV!B27,INV!C27,IF(B29=INV!B28,INV!C28,IF(B29=INV!B29,INV!C29,IF(B29=INV!B30,INV!C30,IF(B29=INV!B31,INV!C31,IF(B29=INV!B32,INV!C32,IF(B29=INV!B33,INV!C33,IF(B29=INV!B34,INV!C34,IF(B29=INV!B35,INV!C35,IF(B29=INV!B36,INV!C36,IF(B29=INV!B37,INV!C37,IF(B29=INV!B38,INV!C38,IF(B29=INV!B39,INV!C39,IF(B29=INV!B40,INV!C330,IF(B29=INV!B41,INV!C41,IF(B29=INV!B42,INV!C42,IF(B29=INV!B43,INV!C43,IF(B29=INV!B44,INV!C44,IF(B29=INV!B45,INV!C45,IF(B29=INV!B46,INV!C46,IF(B29=INV!B47,INV!C47,IF(B29=INV!B48,INV!C48,IF(B29=INV!B49,INV!C49,IF(B29=INV!B50,INV!C50,IF(B29=INV!B51,INV!C51,IF(B29=INV!B52,INV!C52,IF(B29=INV!B53,INV!C53,IF(B29=INV!B54,INV!C54,IF(B29=INV!B55,INV!C55,IF(B29=INV!B56,INV!C56,IF(B29=INV!B57,INV!C57,IF(B29=INV!B58,INV!C58,IF(B29=INV!B59,INV!C59)))))))))))))))))))))))))))))))))))))))))))))))))))))))))))</f>
        <v/>
      </c>
      <c r="D29" s="52" t="str">
        <f>IF(C29="","",IF(C29=INV!C2,INV!D2,IF(C29=INV!C3,INV!D3,IF(C29=INV!C4,INV!D4,IF(C29=INV!C5,INV!D5,IF(C29=INV!C6,INV!D6,IF(C29=INV!C7,INV!D7,IF(C29=INV!C8,INV!D8,IF(C29=INV!C9,INV!D9,IF(C29=INV!C10,INV!D10,IF(C29=INV!C11,INV!D11,IF(C29=INV!C12,INV!D12,IF(C29=INV!C13,INV!D13,IF(C29=INV!C14,INV!D14,IF(C29=INV!C15,INV!D15,IF(C29=INV!C16,INV!D16,IF(C29=INV!C17,INV!D17,IF(C29=INV!C18,INV!D18,IF(C29=INV!C19,INV!D19,IF(C29=INV!C20,INV!D20,IF(C29=INV!C21,INV!D21,IF(C29=INV!C22,INV!D22,IF(C29=INV!C23,INV!D23,IF(C29=INV!C24,INV!D24,IF(C29=INV!C25,INV!D25,IF(C29=INV!C26,INV!D26,IF(C29=INV!C27,INV!D27,IF(C29=INV!C28,INV!D28,IF(C29=INV!C29,INV!D29,IF(C29=INV!C30,INV!D30,IF(C29=INV!C31,INV!D31,IF(C29=INV!C32,INV!D32,IF(C29=INV!C33,INV!D33,IF(C29=INV!C34,INV!D34,IF(C29=INV!C35,INV!D35,IF(C29=INV!C36,INV!D36,IF(C29=INV!C37,INV!D37,IF(C29=INV!C38,INV!D38,IF(C29=INV!C39,INV!D39,IF(C29=INV!C40,INV!D330,IF(C29=INV!C41,INV!D41,IF(C29=INV!C42,INV!D42,IF(C29=INV!C43,INV!D43,IF(C29=INV!C44,INV!D44,IF(C29=INV!C45,INV!D45,IF(C29=INV!C46,INV!D46,IF(C29=INV!C47,INV!D47,IF(C29=INV!C48,INV!D48,IF(C29=INV!C49,INV!D49,IF(C29=INV!C50,INV!D50,IF(C29=INV!C51,INV!D51,IF(C29=INV!C52,INV!D52,IF(C29=INV!C53,INV!D53,IF(C29=INV!C54,INV!D54,IF(C29=INV!C55,INV!D55,IF(C29=INV!C56,INV!D56,IF(C29=INV!C57,INV!D57,IF(C29=INV!C58,INV!D58,IF(C29=INV!C59,INV!D59)))))))))))))))))))))))))))))))))))))))))))))))))))))))))))</f>
        <v/>
      </c>
      <c r="E29" s="52"/>
      <c r="F29" s="16"/>
      <c r="G29" s="17" t="str">
        <f>IF(B29="","",IF(B29=INV!B2,INV!F2*H17,IF(B29=INV!B3,INV!F3*H17,IF(B29=INV!B4,INV!F4*H17,IF(B29=INV!B5,INV!F5*H17,IF(B29=INV!B6,INV!F6*H17,IF(B29=INV!B7,INV!F7*H17,IF(B29=INV!B8,INV!F8*H17,IF(B29=INV!B9,INV!F9*H17,IF(B29=INV!B10,INV!F10*H17,IF(B29=INV!B11,INV!F11*H17,IF(B29=INV!B12,INV!F12*H17,IF(B29=INV!B13,INV!F13*H17,IF(B29=INV!B14,INV!F14*H17,IF(B29=INV!B15,INV!F15*H17,IF(B29=INV!B16,INV!F16*H17,IF(B29=INV!B17,INV!F17*H17,IF(B29=INV!B18,INV!F18*H17,IF(B29=INV!B19,INV!F19*H17,IF(B29=INV!B20,INV!F20*H17,IF(B29=INV!B21,INV!F21*H17,IF(B29=INV!B22,INV!F22*H17,IF(B29=INV!B23,INV!F23*H17,IF(B29=INV!B24,INV!F24*H17,IF(B29=INV!B25,INV!F25*H17,IF(B29=INV!B26,INV!F26*H17,IF(B29=INV!B27,INV!F27*H17,IF(B29=INV!B28,INV!F28*H17,IF(B29=INV!B29,INV!F29*H17,IF(B29=INV!B30,INV!F30*H17,IF(B29=INV!B31,INV!F31*H17,IF(B29=INV!B32,INV!F32*H17,IF(B29=INV!B33,INV!F33*H17,IF(B29=INV!B34,INV!F34*H17,IF(B29=INV!B35,INV!F35*H17,IF(B29=INV!B36,INV!F36*H17,IF(B29=INV!B37,INV!F37*H17,IF(B29=INV!B38,INV!F38*H17,IF(B29=INV!B39,INV!F39*H17,IF(B29=INV!B40,INV!F40*H17,IF(B29=INV!B41,INV!F41*H17,IF(B29=INV!B42,INV!F42*H17,IF(B29=INV!B43,INV!F43*H17,IF(B29=INV!B44,INV!F44*H17,IF(B29=INV!B45,INV!F45*H17,IF(B29=INV!B46,INV!F46*H17,IF(B29=INV!B47,INV!F47*H17,IF(B29=INV!B48,INV!F48*H17,IF(B29=INV!B49,INV!F49*H17,IF(B29=INV!B50,INV!F50*H17,IF(B29=INV!B51,INV!F51*H17,IF(B29=INV!B52,INV!F52*H17,IF(B29=INV!B53,INV!F53*H17,IF(B29=INV!B54,INV!F54*H17,IF(B29=INV!B55,INV!F55*H17,IF(B29=INV!B56,INV!F56*H17,IF(B29=INV!B57,INV!F57*H17,IF(B29=INV!B58,INV!F58*H17,IF(B29=INV!B59,INV!F59*H17)))))))))))))))))))))))))))))))))))))))))))))))))))))))))))</f>
        <v/>
      </c>
      <c r="H29" s="17" t="str">
        <f t="shared" si="0"/>
        <v/>
      </c>
      <c r="I29" s="17"/>
      <c r="J29" s="17"/>
      <c r="K29" s="17"/>
    </row>
    <row r="30" spans="2:11" ht="33.75" customHeight="1">
      <c r="B30" s="14"/>
      <c r="C30" s="15" t="str">
        <f>IF(B30="","",IF(B30=INV!B2,INV!C2,IF(B30=INV!B3,INV!C3,IF(B30=INV!B4,INV!C4,IF(B30=INV!B5,INV!C5,IF(B30=INV!B6,INV!C6,IF(B30=INV!B7,INV!C7,IF(B30=INV!B8,INV!C8,IF(B30=INV!B9,INV!C9,IF(B30=INV!B10,INV!C10,IF(B30=INV!B11,INV!C11,IF(B30=INV!B12,INV!C12,IF(B30=INV!B13,INV!C13,IF(B30=INV!B14,INV!C14,IF(B30=INV!B15,INV!C15,IF(B30=INV!B16,INV!C16,IF(B30=INV!B17,INV!C17,IF(B30=INV!B18,INV!C18,IF(B30=INV!B19,INV!C19,IF(B30=INV!B20,INV!C20,IF(B30=INV!B21,INV!C21,IF(B30=INV!B22,INV!C22,IF(B30=INV!B23,INV!C23,IF(B30=INV!B24,INV!C24,IF(B30=INV!B25,INV!C25,IF(B30=INV!B26,INV!C26,IF(B30=INV!B27,INV!C27,IF(B30=INV!B28,INV!C28,IF(B30=INV!B29,INV!C29,IF(B30=INV!B30,INV!C30,IF(B30=INV!B31,INV!C31,IF(B30=INV!B32,INV!C32,IF(B30=INV!B33,INV!C33,IF(B30=INV!B34,INV!C34,IF(B30=INV!B35,INV!C35,IF(B30=INV!B36,INV!C36,IF(B30=INV!B37,INV!C37,IF(B30=INV!B38,INV!C38,IF(B30=INV!B39,INV!C39,IF(B30=INV!B40,INV!C40,IF(B30=INV!B41,INV!C331,IF(B30=INV!B42,INV!C42,IF(B30=INV!B43,INV!C43,IF(B30=INV!B44,INV!C44,IF(B30=INV!B45,INV!C45,IF(B30=INV!B46,INV!C46,IF(B30=INV!B47,INV!C47,IF(B30=INV!B48,INV!C48,IF(B30=INV!B49,INV!C49,IF(B30=INV!B50,INV!C50,IF(B30=INV!B51,INV!C51,IF(B30=INV!B52,INV!C52,IF(B30=INV!B53,INV!C53,IF(B30=INV!B54,INV!C54,IF(B30=INV!B55,INV!C55,IF(B30=INV!B56,INV!C56,IF(B30=INV!B57,INV!C57,IF(B30=INV!B58,INV!C58,IF(B30=INV!B59,INV!C59,IF(B30=INV!B60,INV!C60))))))))))))))))))))))))))))))))))))))))))))))))))))))))))))</f>
        <v/>
      </c>
      <c r="D30" s="52" t="str">
        <f>IF(C30="","",IF(C30=INV!C2,INV!D2,IF(C30=INV!C3,INV!D3,IF(C30=INV!C4,INV!D4,IF(C30=INV!C5,INV!D5,IF(C30=INV!C6,INV!D6,IF(C30=INV!C7,INV!D7,IF(C30=INV!C8,INV!D8,IF(C30=INV!C9,INV!D9,IF(C30=INV!C10,INV!D10,IF(C30=INV!C11,INV!D11,IF(C30=INV!C12,INV!D12,IF(C30=INV!C13,INV!D13,IF(C30=INV!C14,INV!D14,IF(C30=INV!C15,INV!D15,IF(C30=INV!C16,INV!D16,IF(C30=INV!C17,INV!D17,IF(C30=INV!C18,INV!D18,IF(C30=INV!C19,INV!D19,IF(C30=INV!C20,INV!D20,IF(C30=INV!C21,INV!D21,IF(C30=INV!C22,INV!D22,IF(C30=INV!C23,INV!D23,IF(C30=INV!C24,INV!D24,IF(C30=INV!C25,INV!D25,IF(C30=INV!C26,INV!D26,IF(C30=INV!C27,INV!D27,IF(C30=INV!C28,INV!D28,IF(C30=INV!C29,INV!D29,IF(C30=INV!C30,INV!D30,IF(C30=INV!C31,INV!D31,IF(C30=INV!C32,INV!D32,IF(C30=INV!C33,INV!D33,IF(C30=INV!C34,INV!D34,IF(C30=INV!C35,INV!D35,IF(C30=INV!C36,INV!D36,IF(C30=INV!C37,INV!D37,IF(C30=INV!C38,INV!D38,IF(C30=INV!C39,INV!D39,IF(C30=INV!C40,INV!D40,IF(C30=INV!C41,INV!D331,IF(C30=INV!C42,INV!D42,IF(C30=INV!C43,INV!D43,IF(C30=INV!C44,INV!D44,IF(C30=INV!C45,INV!D45,IF(C30=INV!C46,INV!D46,IF(C30=INV!C47,INV!D47,IF(C30=INV!C48,INV!D48,IF(C30=INV!C49,INV!D49,IF(C30=INV!C50,INV!D50,IF(C30=INV!C51,INV!D51,IF(C30=INV!C52,INV!D52,IF(C30=INV!C53,INV!D53,IF(C30=INV!C54,INV!D54,IF(C30=INV!C55,INV!D55,IF(C30=INV!C56,INV!D56,IF(C30=INV!C57,INV!D57,IF(C30=INV!C58,INV!D58,IF(C30=INV!C59,INV!D59,IF(C30=INV!C60,INV!D60))))))))))))))))))))))))))))))))))))))))))))))))))))))))))))</f>
        <v/>
      </c>
      <c r="E30" s="52"/>
      <c r="F30" s="16"/>
      <c r="G30" s="17" t="str">
        <f>IF(B30="","",IF(B30=INV!B2,INV!F2*H17,IF(B30=INV!B3,INV!F3*H17,IF(B30=INV!B4,INV!F4*H17,IF(B30=INV!B5,INV!F5*H17,IF(B30=INV!B6,INV!F6*H17,IF(B30=INV!B7,INV!F7*H17,IF(B30=INV!B8,INV!F8*H17,IF(B30=INV!B9,INV!F9*H17,IF(B30=INV!B10,INV!F10*H17,IF(B30=INV!B11,INV!F11*H17,IF(B30=INV!B12,INV!F12*H17,IF(B30=INV!B13,INV!F13*H17,IF(B30=INV!B14,INV!F14*H17,IF(B30=INV!B15,INV!F15*H17,IF(B30=INV!B16,INV!F16*H17,IF(B30=INV!B17,INV!F17*H17,IF(B30=INV!B18,INV!F18*H17,IF(B30=INV!B19,INV!F19*H17,IF(B30=INV!B20,INV!F20*H17,IF(B30=INV!B21,INV!F21*H17,IF(B30=INV!B22,INV!F22*H17,IF(B30=INV!B23,INV!F23*H17,IF(B30=INV!B24,INV!F24*H17,IF(B30=INV!B25,INV!F25*H17,IF(B30=INV!B26,INV!F26*H17,IF(B30=INV!B27,INV!F27*H17,IF(B30=INV!B28,INV!F28*H17,IF(B30=INV!B29,INV!F29*H17,IF(B30=INV!B30,INV!F30*H17,IF(B30=INV!B31,INV!F31*H17,IF(B30=INV!B32,INV!F32*H17,IF(B30=INV!B33,INV!F33*H17,IF(B30=INV!B34,INV!F34*H17,IF(B30=INV!B35,INV!F35*H17,IF(B30=INV!B36,INV!F36*H17,IF(B30=INV!B37,INV!F37*H17,IF(B30=INV!B38,INV!F38*H17,IF(B30=INV!B39,INV!F39*H17,IF(B30=INV!B40,INV!F40*H17,IF(B30=INV!B41,INV!F41*H17,IF(B30=INV!B42,INV!F42*H17,IF(B30=INV!B43,INV!F43*H17,IF(B30=INV!B44,INV!F44*H17,IF(B30=INV!B45,INV!F45*H17,IF(B30=INV!B46,INV!F46*H17,IF(B30=INV!B47,INV!F47*H17,IF(B30=INV!B48,INV!F48*H17,IF(B30=INV!B49,INV!F49*H17,IF(B30=INV!B50,INV!F50*H17,IF(B30=INV!B51,INV!F51*H17,IF(B30=INV!B52,INV!F52*H17,IF(B30=INV!B53,INV!F53*H17,IF(B30=INV!B54,INV!F54*H17,IF(B30=INV!B55,INV!F55*H17,IF(B30=INV!B56,INV!F56*H17,IF(B30=INV!B57,INV!F57*H17,IF(B30=INV!B58,INV!F58*H17,IF(B30=INV!B59,INV!F59*H17,IF(B30=INV!B60,INV!F60*H17))))))))))))))))))))))))))))))))))))))))))))))))))))))))))))</f>
        <v/>
      </c>
      <c r="H30" s="17" t="str">
        <f t="shared" si="0"/>
        <v/>
      </c>
      <c r="I30" s="17"/>
      <c r="J30" s="17"/>
      <c r="K30" s="17"/>
    </row>
    <row r="31" spans="2:11" ht="33.75" customHeight="1">
      <c r="B31" s="14"/>
      <c r="C31" s="15" t="str">
        <f>IF(B31="","",IF(B31=INV!B2,INV!C2,IF(B31=INV!B3,INV!C3,IF(B31=INV!B4,INV!C4,IF(B31=INV!B5,INV!C5,IF(B31=INV!B6,INV!C6,IF(B31=INV!B7,INV!C7,IF(B31=INV!B8,INV!C8,IF(B31=INV!B9,INV!C9,IF(B31=INV!B10,INV!C10,IF(B31=INV!B11,INV!C11,IF(B31=INV!B12,INV!C12,IF(B31=INV!B13,INV!C13,IF(B31=INV!B14,INV!C14,IF(B31=INV!B15,INV!C15,IF(B31=INV!B16,INV!C16,IF(B31=INV!B17,INV!C17,IF(B31=INV!B18,INV!C18,IF(B31=INV!B19,INV!C19,IF(B31=INV!B20,INV!C20,IF(B31=INV!B21,INV!C21,IF(B31=INV!B22,INV!C22,IF(B31=INV!B23,INV!C23,IF(B31=INV!B24,INV!C24,IF(B31=INV!B25,INV!C25,IF(B31=INV!B26,INV!C26,IF(B31=INV!B27,INV!C27,IF(B31=INV!B28,INV!C28,IF(B31=INV!B29,INV!C29,IF(B31=INV!B30,INV!C30,IF(B31=INV!B31,INV!C31,IF(B31=INV!B32,INV!C32,IF(B31=INV!B33,INV!C33,IF(B31=INV!B34,INV!C34,IF(B31=INV!B35,INV!C35,IF(B31=INV!B36,INV!C36,IF(B31=INV!B37,INV!C37,IF(B31=INV!B38,INV!C38,IF(B31=INV!B39,INV!C39,IF(B31=INV!B40,INV!C40,IF(B31=INV!B41,INV!C41,IF(B31=INV!B42,INV!C332,IF(B31=INV!B43,INV!C43,IF(B31=INV!B44,INV!C44,IF(B31=INV!B45,INV!C45,IF(B31=INV!B46,INV!C46,IF(B31=INV!B47,INV!C47,IF(B31=INV!B48,INV!C48,IF(B31=INV!B49,INV!C49,IF(B31=INV!B50,INV!C50,IF(B31=INV!B51,INV!C51,IF(B31=INV!B52,INV!C52,IF(B31=INV!B53,INV!C53,IF(B31=INV!B54,INV!C54,IF(B31=INV!B55,INV!C55,IF(B31=INV!B56,INV!C56,IF(B31=INV!B57,INV!C57,IF(B31=INV!B58,INV!C58,IF(B31=INV!B59,INV!C59,IF(B31=INV!B60,INV!C60,IF(B31=INV!B61,INV!C61)))))))))))))))))))))))))))))))))))))))))))))))))))))))))))))</f>
        <v/>
      </c>
      <c r="D31" s="52" t="str">
        <f>IF(C31="","",IF(C31=INV!C2,INV!D2,IF(C31=INV!C3,INV!D3,IF(C31=INV!C4,INV!D4,IF(C31=INV!C5,INV!D5,IF(C31=INV!C6,INV!D6,IF(C31=INV!C7,INV!D7,IF(C31=INV!C8,INV!D8,IF(C31=INV!C9,INV!D9,IF(C31=INV!C10,INV!D10,IF(C31=INV!C11,INV!D11,IF(C31=INV!C12,INV!D12,IF(C31=INV!C13,INV!D13,IF(C31=INV!C14,INV!D14,IF(C31=INV!C15,INV!D15,IF(C31=INV!C16,INV!D16,IF(C31=INV!C17,INV!D17,IF(C31=INV!C18,INV!D18,IF(C31=INV!C19,INV!D19,IF(C31=INV!C20,INV!D20,IF(C31=INV!C21,INV!D21,IF(C31=INV!C22,INV!D22,IF(C31=INV!C23,INV!D23,IF(C31=INV!C24,INV!D24,IF(C31=INV!C25,INV!D25,IF(C31=INV!C26,INV!D26,IF(C31=INV!C27,INV!D27,IF(C31=INV!C28,INV!D28,IF(C31=INV!C29,INV!D29,IF(C31=INV!C30,INV!D30,IF(C31=INV!C31,INV!D31,IF(C31=INV!C32,INV!D32,IF(C31=INV!C33,INV!D33,IF(C31=INV!C34,INV!D34,IF(C31=INV!C35,INV!D35,IF(C31=INV!C36,INV!D36,IF(C31=INV!C37,INV!D37,IF(C31=INV!C38,INV!D38,IF(C31=INV!C39,INV!D39,IF(C31=INV!C40,INV!D40,IF(C31=INV!C41,INV!D41,IF(C31=INV!C42,INV!D332,IF(C31=INV!C43,INV!D43,IF(C31=INV!C44,INV!D44,IF(C31=INV!C45,INV!D45,IF(C31=INV!C46,INV!D46,IF(C31=INV!C47,INV!D47,IF(C31=INV!C48,INV!D48,IF(C31=INV!C49,INV!D49,IF(C31=INV!C50,INV!D50,IF(C31=INV!C51,INV!D51,IF(C31=INV!C52,INV!D52,IF(C31=INV!C53,INV!D53,IF(C31=INV!C54,INV!D54,IF(C31=INV!C55,INV!D55,IF(C31=INV!C56,INV!D56,IF(C31=INV!C57,INV!D57,IF(C31=INV!C58,INV!D58,IF(C31=INV!C59,INV!D59,IF(C31=INV!C60,INV!D60,IF(C31=INV!C61,INV!D61)))))))))))))))))))))))))))))))))))))))))))))))))))))))))))))</f>
        <v/>
      </c>
      <c r="E31" s="52"/>
      <c r="F31" s="16"/>
      <c r="G31" s="17" t="str">
        <f>IF(B31="","",IF(B31=INV!B2,INV!F2*H17,IF(B31=INV!B3,INV!F3*H17,IF(B31=INV!B4,INV!F4*H17,IF(B31=INV!B5,INV!F5*H17,IF(B31=INV!B6,INV!F6*H17,IF(B31=INV!B7,INV!F7*H17,IF(B31=INV!B8,INV!F8*H17,IF(B31=INV!B9,INV!F9*H17,IF(B31=INV!B10,INV!F10*H17,IF(B31=INV!B11,INV!F11*H17,IF(B31=INV!B12,INV!F12*H17,IF(B31=INV!B13,INV!F13*H17,IF(B31=INV!B14,INV!F14*H17,IF(B31=INV!B15,INV!F15*H17,IF(B31=INV!B16,INV!F16*H17,IF(B31=INV!B17,INV!F17*H17,IF(B31=INV!B18,INV!F18*H17,IF(B31=INV!B19,INV!F19*H17,IF(B31=INV!B20,INV!F20*H17,IF(B31=INV!B21,INV!F21*H17,IF(B31=INV!B22,INV!F22*H17,IF(B31=INV!B23,INV!F23*H17,IF(B31=INV!B24,INV!F24*H17,IF(B31=INV!B25,INV!F25*H17,IF(B31=INV!B26,INV!F26*H17,IF(B31=INV!B27,INV!F27*H17,IF(B31=INV!B28,INV!F28*H17,IF(B31=INV!B29,INV!F29*H17,IF(B31=INV!B30,INV!F30*H17,IF(B31=INV!B31,INV!F31*H17,IF(B31=INV!B32,INV!F32*H17,IF(B31=INV!B33,INV!F33*H17,IF(B31=INV!B34,INV!F34*H17,IF(B31=INV!B35,INV!F35*H17,IF(B31=INV!B36,INV!F36*H17,IF(B31=INV!B37,INV!F37*H17,IF(B31=INV!B38,INV!F38*H17,IF(B31=INV!B39,INV!F39*H17,IF(B31=INV!B40,INV!F40*H17,IF(B31=INV!B41,INV!F41*H17,IF(B31=INV!B42,INV!F42*H17,IF(B31=INV!B43,INV!F43*H17,IF(B31=INV!B44,INV!F44*H17,IF(B31=INV!B45,INV!F45*H17,IF(B31=INV!B46,INV!F46*H17,IF(B31=INV!B47,INV!F47*H17,IF(B31=INV!B48,INV!F48*H17,IF(B31=INV!B49,INV!F49*H17,IF(B31=INV!B50,INV!F50*H17,IF(B31=INV!B51,INV!F51*H17,IF(B31=INV!B52,INV!F52*H17,IF(B31=INV!B53,INV!F53*H17,IF(B31=INV!B54,INV!F54*H17,IF(B31=INV!B55,INV!F55*H17,IF(B31=INV!B56,INV!F56*H17,IF(B31=INV!B57,INV!F57*H17,IF(B31=INV!B58,INV!F58*H17,IF(B31=INV!B59,INV!F59*H17,IF(B31=INV!B60,INV!F60*H17,IF(B31=INV!B61,INV!F61*H17)))))))))))))))))))))))))))))))))))))))))))))))))))))))))))))</f>
        <v/>
      </c>
      <c r="H31" s="17" t="str">
        <f t="shared" si="0"/>
        <v/>
      </c>
      <c r="I31" s="17"/>
      <c r="J31" s="17"/>
      <c r="K31" s="17"/>
    </row>
    <row r="32" spans="2:11" ht="15" customHeight="1">
      <c r="B32" s="15"/>
      <c r="C32" s="15"/>
      <c r="D32" s="18"/>
      <c r="E32" s="18"/>
      <c r="F32" s="15"/>
      <c r="G32" s="19"/>
      <c r="H32" s="19"/>
    </row>
    <row r="33" spans="4:8" ht="15" customHeight="1">
      <c r="D33" s="54" t="s">
        <v>203</v>
      </c>
      <c r="E33" s="54"/>
      <c r="F33" s="20" t="s">
        <v>204</v>
      </c>
      <c r="G33" s="20" t="s">
        <v>205</v>
      </c>
      <c r="H33" s="21" t="s">
        <v>206</v>
      </c>
    </row>
    <row r="34" spans="4:8">
      <c r="D34" s="54"/>
      <c r="E34" s="54"/>
      <c r="F34" s="22">
        <f>SUM(F21:F31)</f>
        <v>0</v>
      </c>
      <c r="G34" s="22">
        <f>COUNT(F21:F31)</f>
        <v>0</v>
      </c>
      <c r="H34" s="23">
        <f>SUM(H21:H31)</f>
        <v>0</v>
      </c>
    </row>
  </sheetData>
  <sheetProtection sheet="1" objects="1" selectLockedCells="1"/>
  <mergeCells count="18">
    <mergeCell ref="D33:E34"/>
    <mergeCell ref="D26:E26"/>
    <mergeCell ref="D27:E27"/>
    <mergeCell ref="D28:E28"/>
    <mergeCell ref="D29:E29"/>
    <mergeCell ref="D30:E30"/>
    <mergeCell ref="C14:F14"/>
    <mergeCell ref="C16:F16"/>
    <mergeCell ref="D19:E19"/>
    <mergeCell ref="D31:E31"/>
    <mergeCell ref="A1:H3"/>
    <mergeCell ref="D21:E21"/>
    <mergeCell ref="D22:E22"/>
    <mergeCell ref="D23:E23"/>
    <mergeCell ref="D24:E24"/>
    <mergeCell ref="D25:E25"/>
    <mergeCell ref="C10:F10"/>
    <mergeCell ref="C12:F12"/>
  </mergeCells>
  <pageMargins left="0.7" right="0.7" top="0.75" bottom="0.75" header="0.3" footer="0.3"/>
  <pageSetup paperSize="9" orientation="portrait" r:id="rId1"/>
  <drawing r:id="rId2"/>
  <picture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DATA!$A$3:$A$4</xm:f>
          </x14:formula1>
          <xm:sqref>H16</xm:sqref>
        </x14:dataValidation>
        <x14:dataValidation type="list" allowBlank="1" showInputMessage="1" showErrorMessage="1" xr:uid="{00000000-0002-0000-0200-000001000000}">
          <x14:formula1>
            <xm:f>INV!$B:$B</xm:f>
          </x14:formula1>
          <xm:sqref>B21:B32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82B2-459B-4EAF-9318-6F08019491C0}">
  <sheetPr>
    <tabColor theme="0" tint="-0.249977111117893"/>
  </sheetPr>
  <dimension ref="A1:L34"/>
  <sheetViews>
    <sheetView showGridLines="0" showRowColHeaders="0" tabSelected="1" showRuler="0" view="pageLayout" zoomScale="90" zoomScaleNormal="100" zoomScalePageLayoutView="90" workbookViewId="0">
      <selection activeCell="C10" sqref="C10:G10"/>
    </sheetView>
  </sheetViews>
  <sheetFormatPr baseColWidth="10" defaultColWidth="11.42578125" defaultRowHeight="15"/>
  <cols>
    <col min="1" max="1" width="2.140625" customWidth="1"/>
    <col min="2" max="2" width="8.140625" customWidth="1"/>
    <col min="3" max="3" width="9" hidden="1" customWidth="1"/>
    <col min="4" max="5" width="12.5703125" customWidth="1"/>
    <col min="6" max="6" width="6.7109375" bestFit="1" customWidth="1"/>
    <col min="7" max="7" width="9.85546875" customWidth="1"/>
    <col min="8" max="9" width="12" customWidth="1"/>
  </cols>
  <sheetData>
    <row r="1" spans="1:10">
      <c r="A1" s="58" t="s">
        <v>232</v>
      </c>
      <c r="B1" s="58"/>
      <c r="C1" s="58"/>
      <c r="D1" s="58"/>
      <c r="E1" s="58"/>
      <c r="F1" s="58"/>
      <c r="G1" s="58"/>
      <c r="H1" s="58"/>
      <c r="I1" s="58"/>
      <c r="J1" s="58"/>
    </row>
    <row r="2" spans="1:10">
      <c r="A2" s="58"/>
      <c r="B2" s="58"/>
      <c r="C2" s="58"/>
      <c r="D2" s="58"/>
      <c r="E2" s="58"/>
      <c r="F2" s="58"/>
      <c r="G2" s="58"/>
      <c r="H2" s="58"/>
      <c r="I2" s="58"/>
      <c r="J2" s="58"/>
    </row>
    <row r="3" spans="1:10">
      <c r="A3" s="58"/>
      <c r="B3" s="58"/>
      <c r="C3" s="58"/>
      <c r="D3" s="58"/>
      <c r="E3" s="58"/>
      <c r="F3" s="58"/>
      <c r="G3" s="58"/>
      <c r="H3" s="58"/>
      <c r="I3" s="58"/>
      <c r="J3" s="58"/>
    </row>
    <row r="5" spans="1:10" ht="21">
      <c r="B5" s="2" t="s">
        <v>220</v>
      </c>
    </row>
    <row r="6" spans="1:10">
      <c r="B6" s="3" t="s">
        <v>188</v>
      </c>
      <c r="C6" s="3"/>
      <c r="D6" s="3"/>
    </row>
    <row r="7" spans="1:10">
      <c r="B7" s="3" t="s">
        <v>189</v>
      </c>
      <c r="C7" s="3"/>
      <c r="D7" s="3"/>
    </row>
    <row r="8" spans="1:10">
      <c r="B8" s="3" t="s">
        <v>221</v>
      </c>
      <c r="C8" s="3"/>
      <c r="D8" s="3"/>
    </row>
    <row r="10" spans="1:10">
      <c r="B10" s="4" t="s">
        <v>190</v>
      </c>
      <c r="C10" s="50"/>
      <c r="D10" s="50"/>
      <c r="E10" s="50"/>
      <c r="F10" s="50"/>
      <c r="G10" s="50"/>
      <c r="I10" s="4" t="s">
        <v>191</v>
      </c>
      <c r="J10" s="5">
        <f ca="1">NOW()</f>
        <v>46280.587582060187</v>
      </c>
    </row>
    <row r="11" spans="1:10">
      <c r="B11" s="4"/>
      <c r="C11" s="3"/>
      <c r="D11" s="3"/>
      <c r="E11" s="3"/>
      <c r="F11" s="3"/>
      <c r="G11" s="3"/>
      <c r="I11" s="6"/>
      <c r="J11" s="7"/>
    </row>
    <row r="12" spans="1:10">
      <c r="B12" s="4" t="s">
        <v>192</v>
      </c>
      <c r="C12" s="50"/>
      <c r="D12" s="50"/>
      <c r="E12" s="50"/>
      <c r="F12" s="50"/>
      <c r="G12" s="50"/>
      <c r="I12" s="4" t="s">
        <v>193</v>
      </c>
      <c r="J12" s="8">
        <f ca="1">51437+J10+G34</f>
        <v>97717.587582060194</v>
      </c>
    </row>
    <row r="13" spans="1:10">
      <c r="B13" s="4"/>
      <c r="C13" s="3"/>
      <c r="D13" s="3"/>
      <c r="E13" s="3"/>
      <c r="F13" s="3"/>
      <c r="G13" s="3"/>
      <c r="I13" s="6"/>
      <c r="J13" s="7"/>
    </row>
    <row r="14" spans="1:10">
      <c r="B14" s="4" t="s">
        <v>194</v>
      </c>
      <c r="C14" s="50"/>
      <c r="D14" s="50"/>
      <c r="E14" s="50"/>
      <c r="F14" s="50"/>
      <c r="G14" s="50"/>
      <c r="I14" s="4" t="s">
        <v>195</v>
      </c>
      <c r="J14" s="7" t="s">
        <v>196</v>
      </c>
    </row>
    <row r="15" spans="1:10">
      <c r="B15" s="4"/>
      <c r="C15" s="3"/>
      <c r="D15" s="3"/>
      <c r="E15" s="3"/>
      <c r="F15" s="3"/>
      <c r="G15" s="9"/>
      <c r="I15" s="6"/>
      <c r="J15" s="7"/>
    </row>
    <row r="16" spans="1:10">
      <c r="B16" s="4" t="s">
        <v>197</v>
      </c>
      <c r="C16" s="50"/>
      <c r="D16" s="50"/>
      <c r="E16" s="50"/>
      <c r="F16" s="50"/>
      <c r="G16" s="50"/>
      <c r="I16" s="4" t="s">
        <v>208</v>
      </c>
      <c r="J16" s="17">
        <f>+'NOTA BS'!H17</f>
        <v>842.21</v>
      </c>
    </row>
    <row r="17" spans="2:12">
      <c r="I17" s="10" t="s">
        <v>224</v>
      </c>
      <c r="J17" s="11" t="s">
        <v>226</v>
      </c>
    </row>
    <row r="19" spans="2:12" s="40" customFormat="1" ht="36.75" customHeight="1">
      <c r="B19" s="24" t="s">
        <v>234</v>
      </c>
      <c r="C19" s="24"/>
      <c r="D19" s="61" t="s">
        <v>235</v>
      </c>
      <c r="E19" s="62"/>
      <c r="F19" s="24" t="s">
        <v>204</v>
      </c>
      <c r="G19" s="44" t="s">
        <v>233</v>
      </c>
      <c r="H19" s="44" t="s">
        <v>236</v>
      </c>
      <c r="I19" s="24" t="s">
        <v>230</v>
      </c>
      <c r="J19" s="24" t="s">
        <v>231</v>
      </c>
    </row>
    <row r="21" spans="2:12" ht="33.75" customHeight="1">
      <c r="B21" s="14"/>
      <c r="C21" s="15" t="str">
        <f>IF(B21="","",IF(B21=INV!B2,INV!C2,IF(B21=INV!B3,INV!C3,IF(B21=INV!B4,INV!C4,IF(B21=INV!B5,INV!C5,IF(B21=INV!B6,INV!C6,IF(B21=INV!B7,INV!C7,IF(B21=INV!B8,INV!C8,IF(B21=INV!B9,INV!C9,IF(B21=INV!B10,INV!C10,IF(B21=INV!B11,INV!C11,IF(B21=INV!B12,INV!C12,IF(B21=INV!B13,INV!C13,IF(B21=INV!B14,INV!C14,IF(B21=INV!B15,INV!C15,IF(B21=INV!B16,INV!C16,IF(B21=INV!B17,INV!C17,IF(B21=INV!B18,INV!C18,IF(B21=INV!B19,INV!C19,IF(B21=INV!B20,INV!C20,IF(B21=INV!B21,INV!C21,IF(B21=INV!B22,INV!C22,IF(B21=INV!B23,INV!C23,IF(B21=INV!B24,INV!C24,IF(B21=INV!B25,INV!C25,IF(B21=INV!B26,INV!C26,IF(B21=INV!B27,INV!C27,IF(B21=INV!B28,INV!C28,IF(B21=INV!B29,INV!C29,IF(B21=INV!B30,INV!C30,IF(B21=INV!B31,INV!C31,IF(B21=INV!B32,INV!C322,IF(B21=INV!B33,INV!C33,IF(B21=INV!B34,INV!C34,IF(B21=INV!B35,INV!C35,IF(B21=INV!B36,INV!C36,IF(B21=INV!B37,INV!C37,IF(B21=INV!B38,INV!C38,IF(B21=INV!B39,INV!C39,IF(B21=INV!B40,INV!C40,IF(B21=INV!B41,INV!C41,IF(B21=INV!B42,INV!C42,IF(B21=INV!B43,INV!C43,IF(B21=INV!B44,INV!C44,IF(B21=INV!B45,INV!C45,IF(B21=INV!B46,INV!C46,IF(B21=INV!B47,INV!C47,IF(B21=INV!B48,INV!C48,IF(B21=INV!B49,INV!C49,IF(B21=INV!B50,INV!C50,IF(B21=INV!B51,INV!C51)))))))))))))))))))))))))))))))))))))))))))))))))))</f>
        <v/>
      </c>
      <c r="D21" s="59" t="str">
        <f>IF(C21="","",IF(C21=INV!C2,INV!D2,IF(C21=INV!C3,INV!D3,IF(C21=INV!C4,INV!D4,IF(C21=INV!C5,INV!D5,IF(C21=INV!C6,INV!D6,IF(C21=INV!C7,INV!D7,IF(C21=INV!C8,INV!D8,IF(C21=INV!C9,INV!D9,IF(C21=INV!C10,INV!D10,IF(C21=INV!C11,INV!D11,IF(C21=INV!C12,INV!D12,IF(C21=INV!C13,INV!D13,IF(C21=INV!C14,INV!D14,IF(C21=INV!C15,INV!D15,IF(C21=INV!C16,INV!D16,IF(C21=INV!C17,INV!D17,IF(C21=INV!C18,INV!D18,IF(C21=INV!C19,INV!D19,IF(C21=INV!C20,INV!D20,IF(C21=INV!C21,INV!D21,IF(C21=INV!C22,INV!D22,IF(C21=INV!C23,INV!D23,IF(C21=INV!C24,INV!D24,IF(C21=INV!C25,INV!D25,IF(C21=INV!C26,INV!D26,IF(C21=INV!C27,INV!D27,IF(C21=INV!C28,INV!D28,IF(C21=INV!C29,INV!D29,IF(C21=INV!C30,INV!D30,IF(C21=INV!C31,INV!D31,IF(C21=INV!C32,INV!D322,IF(C21=INV!C33,INV!D33,IF(C21=INV!C34,INV!D34,IF(C21=INV!C35,INV!D35,IF(C21=INV!C36,INV!D36,IF(C21=INV!C37,INV!D37,IF(C21=INV!C38,INV!D38,IF(C21=INV!C39,INV!D39,IF(C21=INV!C40,INV!D40,IF(C21=INV!C41,INV!D41,IF(C21=INV!C42,INV!D42,IF(C21=INV!C43,INV!D43,IF(C21=INV!C44,INV!D44,IF(C21=INV!C45,INV!D45,IF(C21=INV!C46,INV!D46,IF(C21=INV!C47,INV!D47,IF(C21=INV!C48,INV!D48,IF(C21=INV!C49,INV!D49,IF(C21=INV!C50,INV!D50,IF(C21=INV!C51,INV!D51)))))))))))))))))))))))))))))))))))))))))))))))))))</f>
        <v/>
      </c>
      <c r="E21" s="60"/>
      <c r="F21" s="16"/>
      <c r="G21" s="17" t="str">
        <f>IF(B21="","",IF(B21=INV!B2,INV!F2,IF(B21=INV!B3,INV!F3,IF(B21=INV!B4,INV!F4,IF(B21=INV!B5,INV!F5,IF(B21=INV!B6,INV!F6,IF(B21=INV!B7,INV!F7,IF(B21=INV!B8,INV!F8,IF(B21=INV!B9,INV!F9,IF(B21=INV!B10,INV!F10,IF(B21=INV!B11,INV!F11,IF(B21=INV!B12,INV!F12,IF(B21=INV!B13,INV!F13,IF(B21=INV!B14,INV!F14,IF(B21=INV!B15,INV!F15,IF(B21=INV!B16,INV!F16,IF(B21=INV!B17,INV!F17,IF(B21=INV!B18,INV!F18,IF(B21=INV!B19,INV!F19,IF(B21=INV!B20,INV!F20,IF(B21=INV!B21,INV!F21,IF(B21=INV!B22,INV!F22,IF(B21=INV!B23,INV!F23,IF(B21=INV!B24,INV!F24,IF(B21=INV!B25,INV!F25,IF(B21=INV!B26,INV!F26,IF(B21=INV!B27,INV!F27,IF(B21=INV!B28,INV!F28,IF(B21=INV!B29,INV!F29,IF(B21=INV!B30,INV!F30,IF(B21=INV!B31,INV!F31,IF(B21=INV!B32,INV!F32,IF(B21=INV!B33,INV!F33,IF(B21=INV!B34,INV!F34,IF(B21=INV!B35,INV!F35,IF(B21=INV!B36,INV!F36,IF(B21=INV!B37,INV!F37,IF(B21=INV!B38,INV!F38,IF(B21=INV!B39,INV!F39,IF(B21=INV!B40,INV!F40,IF(B21=INV!B41,INV!F41,IF(B21=INV!B42,INV!F42,IF(B21=INV!B43,INV!F43,IF(B21=INV!B44,INV!F44,IF(B21=INV!B45,INV!F45,IF(B21=INV!B46,INV!F46,IF(B21=INV!B47,INV!F47,IF(B21=INV!B48,INV!F48,IF(B21=INV!B49,INV!F49,IF(B21=INV!B51,INV!F51))))))))))))))))))))))))))))))))))))))))))))))))))</f>
        <v/>
      </c>
      <c r="H21" s="17" t="str">
        <f>IF(G21="","",G21*J16)</f>
        <v/>
      </c>
      <c r="I21" s="17" t="str">
        <f t="shared" ref="I21:I31" si="0">IF(G21="","",G21*F21)</f>
        <v/>
      </c>
      <c r="J21" s="17" t="str">
        <f>IF(G21="","",I21*J16)</f>
        <v/>
      </c>
      <c r="L21" s="43"/>
    </row>
    <row r="22" spans="2:12" ht="33.75" customHeight="1">
      <c r="B22" s="14"/>
      <c r="C22" s="15" t="str">
        <f>IF(B22="","",IF(B22=INV!B2,INV!C2,IF(B22=INV!B3,INV!C3,IF(B22=INV!B4,INV!C4,IF(B22=INV!B5,INV!C5,IF(B22=INV!B6,INV!C6,IF(B22=INV!B7,INV!C7,IF(B22=INV!B8,INV!C8,IF(B22=INV!B9,INV!C9,IF(B22=INV!B10,INV!C10,IF(B22=INV!B11,INV!C11,IF(B22=INV!B12,INV!C12,IF(B22=INV!B13,INV!C13,IF(B22=INV!B14,INV!C14,IF(B22=INV!B15,INV!C15,IF(B22=INV!B16,INV!C16,IF(B22=INV!B17,INV!C17,IF(B22=INV!B18,INV!C18,IF(B22=INV!B19,INV!C19,IF(B22=INV!B20,INV!C20,IF(B22=INV!B21,INV!C21,IF(B22=INV!B22,INV!C22,IF(B22=INV!B23,INV!C23,IF(B22=INV!B24,INV!C24,IF(B22=INV!B25,INV!C25,IF(B22=INV!B26,INV!C26,IF(B22=INV!B27,INV!C27,IF(B22=INV!B28,INV!C28,IF(B22=INV!B29,INV!C29,IF(B22=INV!B30,INV!C30,IF(B22=INV!B31,INV!C31,IF(B22=INV!B32,INV!C32,IF(B22=INV!B33,INV!C323,IF(B22=INV!B34,INV!C34,IF(B22=INV!B35,INV!C35,IF(B22=INV!B36,INV!C36,IF(B22=INV!B37,INV!C37,IF(B22=INV!B38,INV!C38,IF(B22=INV!B39,INV!C39,IF(B22=INV!B40,INV!C40,IF(B22=INV!B41,INV!C41,IF(B22=INV!B42,INV!C42,IF(B22=INV!B43,INV!C43,IF(B22=INV!B44,INV!C44,IF(B22=INV!B45,INV!C45,IF(B22=INV!B46,INV!C46,IF(B22=INV!B47,INV!C47,IF(B22=INV!B48,INV!C48,IF(B22=INV!B49,INV!C49,IF(B22=INV!B50,INV!C50,IF(B22=INV!B51,INV!C51,IF(B22=INV!B52,INV!C52))))))))))))))))))))))))))))))))))))))))))))))))))))</f>
        <v/>
      </c>
      <c r="D22" s="59" t="str">
        <f>IF(C22="","",IF(C22=INV!C2,INV!D2,IF(C22=INV!C3,INV!D3,IF(C22=INV!C4,INV!D4,IF(C22=INV!C5,INV!D5,IF(C22=INV!C6,INV!D6,IF(C22=INV!C7,INV!D7,IF(C22=INV!C8,INV!D8,IF(C22=INV!C9,INV!D9,IF(C22=INV!C10,INV!D10,IF(C22=INV!C11,INV!D11,IF(C22=INV!C12,INV!D12,IF(C22=INV!C13,INV!D13,IF(C22=INV!C14,INV!D14,IF(C22=INV!C15,INV!D15,IF(C22=INV!C16,INV!D16,IF(C22=INV!C17,INV!D17,IF(C22=INV!C18,INV!D18,IF(C22=INV!C19,INV!D19,IF(C22=INV!C20,INV!D20,IF(C22=INV!C21,INV!D21,IF(C22=INV!C22,INV!D22,IF(C22=INV!C23,INV!D23,IF(C22=INV!C24,INV!D24,IF(C22=INV!C25,INV!D25,IF(C22=INV!C26,INV!D26,IF(C22=INV!C27,INV!D27,IF(C22=INV!C28,INV!D28,IF(C22=INV!C29,INV!D29,IF(C22=INV!C30,INV!D30,IF(C22=INV!C31,INV!D31,IF(C22=INV!C32,INV!D32,IF(C22=INV!C33,INV!D323,IF(C22=INV!C34,INV!D34,IF(C22=INV!C35,INV!D35,IF(C22=INV!C36,INV!D36,IF(C22=INV!C37,INV!D37,IF(C22=INV!C38,INV!D38,IF(C22=INV!C39,INV!D39,IF(C22=INV!C40,INV!D40,IF(C22=INV!C41,INV!D41,IF(C22=INV!C42,INV!D42,IF(C22=INV!C43,INV!D43,IF(C22=INV!C44,INV!D44,IF(C22=INV!C45,INV!D45,IF(C22=INV!C46,INV!D46,IF(C22=INV!C47,INV!D47,IF(C22=INV!C48,INV!D48,IF(C22=INV!C49,INV!D49,IF(C22=INV!C50,INV!D50,IF(C22=INV!C51,INV!D51,IF(C22=INV!C52,INV!D52))))))))))))))))))))))))))))))))))))))))))))))))))))</f>
        <v/>
      </c>
      <c r="E22" s="60"/>
      <c r="F22" s="16"/>
      <c r="G22" s="17" t="str">
        <f>IF(B22="","",IF(B22=INV!B2,INV!F2,IF(B22=INV!B3,INV!F3,IF(B22=INV!B4,INV!F4,IF(B22=INV!B5,INV!F5,IF(B22=INV!B6,INV!F6,IF(B22=INV!B7,INV!F7,IF(B22=INV!B8,INV!F8,IF(B22=INV!B9,INV!F9,IF(B22=INV!B10,INV!F10,IF(B22=INV!B11,INV!F11,IF(B22=INV!B12,INV!F12,IF(B22=INV!B13,INV!F13,IF(B22=INV!B14,INV!F14,IF(B22=INV!B15,INV!F15,IF(B22=INV!B16,INV!F16,IF(B22=INV!B17,INV!F17,IF(B22=INV!B18,INV!F18,IF(B22=INV!B19,INV!F19,IF(B22=INV!B20,INV!F20,IF(B22=INV!B21,INV!F21,IF(B22=INV!B22,INV!F22,IF(B22=INV!B23,INV!F23,IF(B22=INV!B24,INV!F24,IF(B22=INV!B25,INV!F25,IF(B22=INV!B26,INV!F26,IF(B22=INV!B27,INV!F27,IF(B22=INV!B28,INV!F28,IF(B22=INV!B29,INV!F29,IF(B22=INV!B30,INV!F30,IF(B22=INV!B31,INV!F31,IF(B22=INV!B32,INV!F32,IF(B22=INV!B33,INV!F33,IF(B22=INV!B34,INV!F34,IF(B22=INV!B35,INV!F35,IF(B22=INV!B36,INV!F36,IF(B22=INV!B37,INV!F37,IF(B22=INV!B38,INV!F38,IF(B22=INV!B39,INV!F39,IF(B22=INV!B40,INV!F40,IF(B22=INV!B41,INV!F41,IF(B22=INV!B42,INV!F42,IF(B22=INV!B43,INV!F43,IF(B22=INV!B44,INV!F44,IF(B22=INV!B45,INV!F45,IF(B22=INV!B46,INV!F46,IF(B22=INV!B47,INV!F47,IF(B22=INV!B48,INV!F48,IF(B22=INV!B49,INV!F49,IF(B22=INV!B50,INV!F50,IF(B22=INV!B52,INV!F52)))))))))))))))))))))))))))))))))))))))))))))))))))</f>
        <v/>
      </c>
      <c r="H22" s="17" t="str">
        <f>IF(G22="","",G22*J16)</f>
        <v/>
      </c>
      <c r="I22" s="17" t="str">
        <f t="shared" si="0"/>
        <v/>
      </c>
      <c r="J22" s="17" t="str">
        <f>IF(G22="","",I22*J16)</f>
        <v/>
      </c>
      <c r="L22" s="43"/>
    </row>
    <row r="23" spans="2:12" ht="33.75" customHeight="1">
      <c r="B23" s="14"/>
      <c r="C23" s="15" t="str">
        <f>IF(B23="","",IF(B23=INV!B2,INV!C2,IF(B23=INV!B3,INV!C3,IF(B23=INV!B4,INV!C4,IF(B23=INV!B5,INV!C5,IF(B23=INV!B6,INV!C6,IF(B23=INV!B7,INV!C7,IF(B23=INV!B8,INV!C8,IF(B23=INV!B9,INV!C9,IF(B23=INV!B10,INV!C10,IF(B23=INV!B11,INV!C11,IF(B23=INV!B12,INV!C12,IF(B23=INV!B13,INV!C13,IF(B23=INV!B14,INV!C14,IF(B23=INV!B15,INV!C15,IF(B23=INV!B16,INV!C16,IF(B23=INV!B17,INV!C17,IF(B23=INV!B18,INV!C18,IF(B23=INV!B19,INV!C19,IF(B23=INV!B20,INV!C20,IF(B23=INV!B21,INV!C21,IF(B23=INV!B22,INV!C22,IF(B23=INV!B23,INV!C23,IF(B23=INV!B24,INV!C24,IF(B23=INV!B25,INV!C25,IF(B23=INV!B26,INV!C26,IF(B23=INV!B27,INV!C27,IF(B23=INV!B28,INV!C28,IF(B23=INV!B29,INV!C29,IF(B23=INV!B30,INV!C30,IF(B23=INV!B31,INV!C31,IF(B23=INV!B32,INV!C32,IF(B23=INV!B33,INV!C33,IF(B23=INV!B34,INV!C324,IF(B23=INV!B35,INV!C35,IF(B23=INV!B36,INV!C36,IF(B23=INV!B37,INV!C37,IF(B23=INV!B38,INV!C38,IF(B23=INV!B39,INV!C39,IF(B23=INV!B40,INV!C40,IF(B23=INV!B41,INV!C41,IF(B23=INV!B42,INV!C42,IF(B23=INV!B43,INV!C43,IF(B23=INV!B44,INV!C44,IF(B23=INV!B45,INV!C45,IF(B23=INV!B46,INV!C46,IF(B23=INV!B47,INV!C47,IF(B23=INV!B48,INV!C48,IF(B23=INV!B49,INV!C49,IF(B23=INV!B50,INV!C50,IF(B23=INV!B51,INV!C51,IF(B23=INV!B52,INV!C52,IF(B23=INV!B53,INV!C53)))))))))))))))))))))))))))))))))))))))))))))))))))))</f>
        <v/>
      </c>
      <c r="D23" s="59" t="str">
        <f>IF(C23="","",IF(C23=INV!C2,INV!D2,IF(C23=INV!C3,INV!D3,IF(C23=INV!C4,INV!D4,IF(C23=INV!C5,INV!D5,IF(C23=INV!C6,INV!D6,IF(C23=INV!C7,INV!D7,IF(C23=INV!C8,INV!D8,IF(C23=INV!C9,INV!D9,IF(C23=INV!C10,INV!D10,IF(C23=INV!C11,INV!D11,IF(C23=INV!C12,INV!D12,IF(C23=INV!C13,INV!D13,IF(C23=INV!C14,INV!D14,IF(C23=INV!C15,INV!D15,IF(C23=INV!C16,INV!D16,IF(C23=INV!C17,INV!D17,IF(C23=INV!C18,INV!D18,IF(C23=INV!C19,INV!D19,IF(C23=INV!C20,INV!D20,IF(C23=INV!C21,INV!D21,IF(C23=INV!C22,INV!D22,IF(C23=INV!C23,INV!D23,IF(C23=INV!C24,INV!D24,IF(C23=INV!C25,INV!D25,IF(C23=INV!C26,INV!D26,IF(C23=INV!C27,INV!D27,IF(C23=INV!C28,INV!D28,IF(C23=INV!C29,INV!D29,IF(C23=INV!C30,INV!D30,IF(C23=INV!C31,INV!D31,IF(C23=INV!C32,INV!D32,IF(C23=INV!C33,INV!D33,IF(C23=INV!C34,INV!D324,IF(C23=INV!C35,INV!D35,IF(C23=INV!C36,INV!D36,IF(C23=INV!C37,INV!D37,IF(C23=INV!C38,INV!D38,IF(C23=INV!C39,INV!D39,IF(C23=INV!C40,INV!D40,IF(C23=INV!C41,INV!D41,IF(C23=INV!C42,INV!D42,IF(C23=INV!C43,INV!D43,IF(C23=INV!C44,INV!D44,IF(C23=INV!C45,INV!D45,IF(C23=INV!C46,INV!D46,IF(C23=INV!C47,INV!D47,IF(C23=INV!C48,INV!D48,IF(C23=INV!C49,INV!D49,IF(C23=INV!C50,INV!D50,IF(C23=INV!C51,INV!D51,IF(C23=INV!C52,INV!D52,IF(C23=INV!C53,INV!D53)))))))))))))))))))))))))))))))))))))))))))))))))))))</f>
        <v/>
      </c>
      <c r="E23" s="60"/>
      <c r="F23" s="16"/>
      <c r="G23" s="17" t="str">
        <f>IF(B23="","",IF(B23=INV!B2,INV!F2,IF(B23=INV!B3,INV!F3,IF(B23=INV!B4,INV!F4,IF(B23=INV!B5,INV!F5,IF(B23=INV!B6,INV!F6,IF(B23=INV!B7,INV!F7,IF(B23=INV!B8,INV!F8,IF(B23=INV!B9,INV!F9,IF(B23=INV!B10,INV!F10,IF(B23=INV!B11,INV!F11,IF(B23=INV!B12,INV!F12,IF(B23=INV!B13,INV!F13,IF(B23=INV!B14,INV!F14,IF(B23=INV!B15,INV!F15,IF(B23=INV!B16,INV!F16,IF(B23=INV!B17,INV!F17,IF(B23=INV!B18,INV!F18,IF(B23=INV!B19,INV!F19,IF(B23=INV!B20,INV!F20,IF(B23=INV!B21,INV!F21,IF(B23=INV!B22,INV!F22,IF(B23=INV!B23,INV!F23,IF(B23=INV!B24,INV!F24,IF(B23=INV!B25,INV!F25,IF(B23=INV!B26,INV!F26,IF(B23=INV!B27,INV!F27,IF(B23=INV!B28,INV!F28,IF(B23=INV!B29,INV!F29,IF(B23=INV!B30,INV!F30,IF(B23=INV!B31,INV!F31,IF(B23=INV!B32,INV!F32,IF(B23=INV!B33,INV!F33,IF(B23=INV!B34,INV!F34,IF(B23=INV!B35,INV!F35,IF(B23=INV!B36,INV!F36,IF(B23=INV!B37,INV!F37,IF(B23=INV!B38,INV!F38,IF(B23=INV!B39,INV!F39,IF(B23=INV!B40,INV!F40,IF(B23=INV!B41,INV!F41,IF(B23=INV!B42,INV!F42,IF(B23=INV!B43,INV!F43,IF(B23=INV!B44,INV!F44,IF(B23=INV!B45,INV!F45,IF(B23=INV!B46,INV!F46,IF(B23=INV!B47,INV!F47,IF(B23=INV!B48,INV!F48,IF(B23=INV!B49,INV!F49,IF(B23=INV!B50,INV!F50,IF(B23=INV!B51,INV!F51,IF(B23=INV!B53,INV!F53))))))))))))))))))))))))))))))))))))))))))))))))))))</f>
        <v/>
      </c>
      <c r="H23" s="17" t="str">
        <f>IF(G23="","",G23*J16)</f>
        <v/>
      </c>
      <c r="I23" s="17" t="str">
        <f t="shared" si="0"/>
        <v/>
      </c>
      <c r="J23" s="17" t="str">
        <f>IF(G23="","",I23*J16)</f>
        <v/>
      </c>
      <c r="L23" s="43"/>
    </row>
    <row r="24" spans="2:12" ht="33.75" customHeight="1">
      <c r="B24" s="14"/>
      <c r="C24" s="15" t="str">
        <f>IF(B24="","",IF(B24=INV!B2,INV!C2,IF(B24=INV!B3,INV!C3,IF(B24=INV!B4,INV!C4,IF(B24=INV!B5,INV!C5,IF(B24=INV!B6,INV!C6,IF(B24=INV!B7,INV!C7,IF(B24=INV!B8,INV!C8,IF(B24=INV!B9,INV!C9,IF(B24=INV!B10,INV!C10,IF(B24=INV!B11,INV!C11,IF(B24=INV!B12,INV!C12,IF(B24=INV!B13,INV!C13,IF(B24=INV!B14,INV!C14,IF(B24=INV!B15,INV!C15,IF(B24=INV!B16,INV!C16,IF(B24=INV!B17,INV!C17,IF(B24=INV!B18,INV!C18,IF(B24=INV!B19,INV!C19,IF(B24=INV!B20,INV!C20,IF(B24=INV!B21,INV!C21,IF(B24=INV!B22,INV!C22,IF(B24=INV!B23,INV!C23,IF(B24=INV!B24,INV!C24,IF(B24=INV!B25,INV!C25,IF(B24=INV!B26,INV!C26,IF(B24=INV!B27,INV!C27,IF(B24=INV!B28,INV!C28,IF(B24=INV!B29,INV!C29,IF(B24=INV!B30,INV!C30,IF(B24=INV!B31,INV!C31,IF(B24=INV!B32,INV!C32,IF(B24=INV!B33,INV!C33,IF(B24=INV!B34,INV!C34,IF(B24=INV!B35,INV!C325,IF(B24=INV!B36,INV!C36,IF(B24=INV!B37,INV!C37,IF(B24=INV!B38,INV!C38,IF(B24=INV!B39,INV!C39,IF(B24=INV!B40,INV!C40,IF(B24=INV!B41,INV!C41,IF(B24=INV!B42,INV!C42,IF(B24=INV!B43,INV!C43,IF(B24=INV!B44,INV!C44,IF(B24=INV!B45,INV!C45,IF(B24=INV!B46,INV!C46,IF(B24=INV!B47,INV!C47,IF(B24=INV!B48,INV!C48,IF(B24=INV!B49,INV!C49,IF(B24=INV!B50,INV!C50,IF(B24=INV!B51,INV!C51,IF(B24=INV!B52,INV!C52,IF(B24=INV!B53,INV!C53,IF(B24=INV!B54,INV!C54))))))))))))))))))))))))))))))))))))))))))))))))))))))</f>
        <v/>
      </c>
      <c r="D24" s="59" t="str">
        <f>IF(C24="","",IF(C24=INV!C2,INV!D2,IF(C24=INV!C3,INV!D3,IF(C24=INV!C4,INV!D4,IF(C24=INV!C5,INV!D5,IF(C24=INV!C6,INV!D6,IF(C24=INV!C7,INV!D7,IF(C24=INV!C8,INV!D8,IF(C24=INV!C9,INV!D9,IF(C24=INV!C10,INV!D10,IF(C24=INV!C11,INV!D11,IF(C24=INV!C12,INV!D12,IF(C24=INV!C13,INV!D13,IF(C24=INV!C14,INV!D14,IF(C24=INV!C15,INV!D15,IF(C24=INV!C16,INV!D16,IF(C24=INV!C17,INV!D17,IF(C24=INV!C18,INV!D18,IF(C24=INV!C19,INV!D19,IF(C24=INV!C20,INV!D20,IF(C24=INV!C21,INV!D21,IF(C24=INV!C22,INV!D22,IF(C24=INV!C23,INV!D23,IF(C24=INV!C24,INV!D24,IF(C24=INV!C25,INV!D25,IF(C24=INV!C26,INV!D26,IF(C24=INV!C27,INV!D27,IF(C24=INV!C28,INV!D28,IF(C24=INV!C29,INV!D29,IF(C24=INV!C30,INV!D30,IF(C24=INV!C31,INV!D31,IF(C24=INV!C32,INV!D32,IF(C24=INV!C33,INV!D33,IF(C24=INV!C34,INV!D34,IF(C24=INV!C35,INV!D325,IF(C24=INV!C36,INV!D36,IF(C24=INV!C37,INV!D37,IF(C24=INV!C38,INV!D38,IF(C24=INV!C39,INV!D39,IF(C24=INV!C40,INV!D40,IF(C24=INV!C41,INV!D41,IF(C24=INV!C42,INV!D42,IF(C24=INV!C43,INV!D43,IF(C24=INV!C44,INV!D44,IF(C24=INV!C45,INV!D45,IF(C24=INV!C46,INV!D46,IF(C24=INV!C47,INV!D47,IF(C24=INV!C48,INV!D48,IF(C24=INV!C49,INV!D49,IF(C24=INV!C50,INV!D50,IF(C24=INV!C51,INV!D51,IF(C24=INV!C52,INV!D52,IF(C24=INV!C53,INV!D53,IF(C24=INV!C54,INV!D54))))))))))))))))))))))))))))))))))))))))))))))))))))))</f>
        <v/>
      </c>
      <c r="E24" s="60"/>
      <c r="F24" s="16"/>
      <c r="G24" s="17" t="str">
        <f>IF(B24="","",IF(B24=INV!B2,INV!F2,IF(B24=INV!B3,INV!F3,IF(B24=INV!B4,INV!F4,IF(B24=INV!B5,INV!F5,IF(B24=INV!B6,INV!F6,IF(B24=INV!B7,INV!F7,IF(B24=INV!B8,INV!F8,IF(B24=INV!B9,INV!F9,IF(B24=INV!B10,INV!F10,IF(B24=INV!B11,INV!F11,IF(B24=INV!B12,INV!F12,IF(B24=INV!B13,INV!F13,IF(B24=INV!B14,INV!F14,IF(B24=INV!B15,INV!F15,IF(B24=INV!B16,INV!F16,IF(B24=INV!B17,INV!F17,IF(B24=INV!B18,INV!F18,IF(B24=INV!B19,INV!F19,IF(B24=INV!B20,INV!F20,IF(B24=INV!B21,INV!F21,IF(B24=INV!B22,INV!F22,IF(B24=INV!B23,INV!F23,IF(B24=INV!B24,INV!F24,IF(B24=INV!B25,INV!F25,IF(B24=INV!B26,INV!F26,IF(B24=INV!B27,INV!F27,IF(B24=INV!B28,INV!F28,IF(B24=INV!B29,INV!F29,IF(B24=INV!B30,INV!F30,IF(B24=INV!B31,INV!F31,IF(B24=INV!B32,INV!F32,IF(B24=INV!B33,INV!F33,IF(B24=INV!B34,INV!F34,IF(B24=INV!B35,INV!F35,IF(B24=INV!B36,INV!F36,IF(B24=INV!B37,INV!F37,IF(B24=INV!B38,INV!F38,IF(B24=INV!B39,INV!F39,IF(B24=INV!B40,INV!F40,IF(B24=INV!B41,INV!F41,IF(B24=INV!B42,INV!F42,IF(B24=INV!B43,INV!F43,IF(B24=INV!B44,INV!F44,IF(B24=INV!B45,INV!F45,IF(B24=INV!B46,INV!F46,IF(B24=INV!B47,INV!F47,IF(B24=INV!B48,INV!F48,IF(B24=INV!B49,INV!F49,IF(B24=INV!B50,INV!F50,IF(B24=INV!B51,INV!F51,IF(B24=INV!B52,INV!F52,IF(B24=INV!B54,INV!F54)))))))))))))))))))))))))))))))))))))))))))))))))))))</f>
        <v/>
      </c>
      <c r="H24" s="17" t="str">
        <f>IF(G24="","",G24*J16)</f>
        <v/>
      </c>
      <c r="I24" s="17" t="str">
        <f t="shared" si="0"/>
        <v/>
      </c>
      <c r="J24" s="17" t="str">
        <f>IF(G24="","",I24*J16)</f>
        <v/>
      </c>
      <c r="L24" s="43"/>
    </row>
    <row r="25" spans="2:12" ht="33.75" customHeight="1">
      <c r="B25" s="14"/>
      <c r="C25" s="15" t="str">
        <f>IF(B25="","",IF(B25=INV!B2,INV!C2,IF(B25=INV!B3,INV!C3,IF(B25=INV!B4,INV!C4,IF(B25=INV!B5,INV!C5,IF(B25=INV!B6,INV!C6,IF(B25=INV!B7,INV!C7,IF(B25=INV!B8,INV!C8,IF(B25=INV!B9,INV!C9,IF(B25=INV!B10,INV!C10,IF(B25=INV!B11,INV!C11,IF(B25=INV!B12,INV!C12,IF(B25=INV!B13,INV!C13,IF(B25=INV!B14,INV!C14,IF(B25=INV!B15,INV!C15,IF(B25=INV!B16,INV!C16,IF(B25=INV!B17,INV!C17,IF(B25=INV!B18,INV!C18,IF(B25=INV!B19,INV!C19,IF(B25=INV!B20,INV!C20,IF(B25=INV!B21,INV!C21,IF(B25=INV!B22,INV!C22,IF(B25=INV!B23,INV!C23,IF(B25=INV!B24,INV!C24,IF(B25=INV!B25,INV!C25,IF(B25=INV!B26,INV!C26,IF(B25=INV!B27,INV!C27,IF(B25=INV!B28,INV!C28,IF(B25=INV!B29,INV!C29,IF(B25=INV!B30,INV!C30,IF(B25=INV!B31,INV!C31,IF(B25=INV!B32,INV!C32,IF(B25=INV!B33,INV!C33,IF(B25=INV!B34,INV!C34,IF(B25=INV!B35,INV!C35,IF(B25=INV!B36,INV!C326,IF(B25=INV!B37,INV!C37,IF(B25=INV!B38,INV!C38,IF(B25=INV!B39,INV!C39,IF(B25=INV!B40,INV!C40,IF(B25=INV!B41,INV!C41,IF(B25=INV!B42,INV!C42,IF(B25=INV!B43,INV!C43,IF(B25=INV!B44,INV!C44,IF(B25=INV!B45,INV!C45,IF(B25=INV!B46,INV!C46,IF(B25=INV!B47,INV!C47,IF(B25=INV!B48,INV!C48,IF(B25=INV!B49,INV!C49,IF(B25=INV!B50,INV!C50,IF(B25=INV!B51,INV!C51,IF(B25=INV!B52,INV!C52,IF(B25=INV!B53,INV!C53,IF(B25=INV!B54,INV!C54,IF(B25=INV!B55,INV!C55)))))))))))))))))))))))))))))))))))))))))))))))))))))))</f>
        <v/>
      </c>
      <c r="D25" s="59" t="str">
        <f>IF(C25="","",IF(C25=INV!C2,INV!D2,IF(C25=INV!C3,INV!D3,IF(C25=INV!C4,INV!D4,IF(C25=INV!C5,INV!D5,IF(C25=INV!C6,INV!D6,IF(C25=INV!C7,INV!D7,IF(C25=INV!C8,INV!D8,IF(C25=INV!C9,INV!D9,IF(C25=INV!C10,INV!D10,IF(C25=INV!C11,INV!D11,IF(C25=INV!C12,INV!D12,IF(C25=INV!C13,INV!D13,IF(C25=INV!C14,INV!D14,IF(C25=INV!C15,INV!D15,IF(C25=INV!C16,INV!D16,IF(C25=INV!C17,INV!D17,IF(C25=INV!C18,INV!D18,IF(C25=INV!C19,INV!D19,IF(C25=INV!C20,INV!D20,IF(C25=INV!C21,INV!D21,IF(C25=INV!C22,INV!D22,IF(C25=INV!C23,INV!D23,IF(C25=INV!C24,INV!D24,IF(C25=INV!C25,INV!D25,IF(C25=INV!C26,INV!D26,IF(C25=INV!C27,INV!D27,IF(C25=INV!C28,INV!D28,IF(C25=INV!C29,INV!D29,IF(C25=INV!C30,INV!D30,IF(C25=INV!C31,INV!D31,IF(C25=INV!C32,INV!D32,IF(C25=INV!C33,INV!D33,IF(C25=INV!C34,INV!D34,IF(C25=INV!C35,INV!D35,IF(C25=INV!C36,INV!D326,IF(C25=INV!C37,INV!D37,IF(C25=INV!C38,INV!D38,IF(C25=INV!C39,INV!D39,IF(C25=INV!C40,INV!D40,IF(C25=INV!C41,INV!D41,IF(C25=INV!C42,INV!D42,IF(C25=INV!C43,INV!D43,IF(C25=INV!C44,INV!D44,IF(C25=INV!C45,INV!D45,IF(C25=INV!C46,INV!D46,IF(C25=INV!C47,INV!D47,IF(C25=INV!C48,INV!D48,IF(C25=INV!C49,INV!D49,IF(C25=INV!C50,INV!D50,IF(C25=INV!C51,INV!D51,IF(C25=INV!C52,INV!D52,IF(C25=INV!C53,INV!D53,IF(C25=INV!C54,INV!D54,IF(C25=INV!C55,INV!D55)))))))))))))))))))))))))))))))))))))))))))))))))))))))</f>
        <v/>
      </c>
      <c r="E25" s="60"/>
      <c r="F25" s="16"/>
      <c r="G25" s="17" t="str">
        <f>IF(B25="","",IF(B25=INV!B2,INV!F2,IF(B25=INV!B3,INV!F3,IF(B25=INV!B4,INV!F4,IF(B25=INV!B5,INV!F5,IF(B25=INV!B6,INV!F6,IF(B25=INV!B7,INV!F7,IF(B25=INV!B8,INV!F8,IF(B25=INV!B9,INV!F9,IF(B25=INV!B10,INV!F10,IF(B25=INV!B11,INV!F11,IF(B25=INV!B12,INV!F12,IF(B25=INV!B13,INV!F13,IF(B25=INV!B14,INV!F14,IF(B25=INV!B15,INV!F15,IF(B25=INV!B16,INV!F16,IF(B25=INV!B17,INV!F17,IF(B25=INV!B18,INV!F18,IF(B25=INV!B19,INV!F19,IF(B25=INV!B20,INV!F20,IF(B25=INV!B21,INV!F21,IF(B25=INV!B22,INV!F22,IF(B25=INV!B23,INV!F23,IF(B25=INV!B24,INV!F24,IF(B25=INV!B25,INV!F25,IF(B25=INV!B26,INV!F26,IF(B25=INV!B27,INV!F27,IF(B25=INV!B28,INV!F28,IF(B25=INV!B29,INV!F29,IF(B25=INV!B30,INV!F30,IF(B25=INV!B31,INV!F31,IF(B25=INV!B32,INV!F32,IF(B25=INV!B33,INV!F33,IF(B25=INV!B34,INV!F34,IF(B25=INV!B35,INV!F35,IF(B25=INV!B36,INV!F36,IF(B25=INV!B37,INV!F37,IF(B25=INV!B38,INV!F38,IF(B25=INV!B39,INV!F39,IF(B25=INV!B40,INV!F40,IF(B25=INV!B41,INV!F41,IF(B25=INV!B42,INV!F42,IF(B25=INV!B43,INV!F43,IF(B25=INV!B44,INV!F44,IF(B25=INV!B45,INV!F45,IF(B25=INV!B46,INV!F46,IF(B25=INV!B47,INV!F47,IF(B25=INV!B48,INV!F48,IF(B25=INV!B49,INV!F49,IF(B25=INV!B50,INV!F50,IF(B25=INV!B51,INV!F51,IF(B25=INV!B52,INV!F52,IF(B25=INV!B53,INV!F53,IF(B25=INV!B55,INV!F55))))))))))))))))))))))))))))))))))))))))))))))))))))))</f>
        <v/>
      </c>
      <c r="H25" s="17" t="str">
        <f>IF(G25="","",G25*J16)</f>
        <v/>
      </c>
      <c r="I25" s="17" t="str">
        <f t="shared" si="0"/>
        <v/>
      </c>
      <c r="J25" s="17" t="str">
        <f>IF(G25="","",I25*J16)</f>
        <v/>
      </c>
      <c r="L25" s="43"/>
    </row>
    <row r="26" spans="2:12" ht="33.75" customHeight="1">
      <c r="B26" s="14"/>
      <c r="C26" s="15" t="str">
        <f>IF(B26="","",IF(B26=INV!B2,INV!C2,IF(B26=INV!B3,INV!C3,IF(B26=INV!B4,INV!C4,IF(B26=INV!B5,INV!C5,IF(B26=INV!B6,INV!C6,IF(B26=INV!B7,INV!C7,IF(B26=INV!B8,INV!C8,IF(B26=INV!B9,INV!C9,IF(B26=INV!B10,INV!C10,IF(B26=INV!B11,INV!C11,IF(B26=INV!B12,INV!C12,IF(B26=INV!B13,INV!C13,IF(B26=INV!B14,INV!C14,IF(B26=INV!B15,INV!C15,IF(B26=INV!B16,INV!C16,IF(B26=INV!B17,INV!C17,IF(B26=INV!B18,INV!C18,IF(B26=INV!B19,INV!C19,IF(B26=INV!B20,INV!C20,IF(B26=INV!B21,INV!C21,IF(B26=INV!B22,INV!C22,IF(B26=INV!B23,INV!C23,IF(B26=INV!B24,INV!C24,IF(B26=INV!B25,INV!C25,IF(B26=INV!B26,INV!C26,IF(B26=INV!B27,INV!C27,IF(B26=INV!B28,INV!C28,IF(B26=INV!B29,INV!C29,IF(B26=INV!B30,INV!C30,IF(B26=INV!B31,INV!C31,IF(B26=INV!B32,INV!C32,IF(B26=INV!B33,INV!C33,IF(B26=INV!B34,INV!C34,IF(B26=INV!B35,INV!C35,IF(B26=INV!B36,INV!C36,IF(B26=INV!B37,INV!C327,IF(B26=INV!B38,INV!C38,IF(B26=INV!B39,INV!C39,IF(B26=INV!B40,INV!C40,IF(B26=INV!B41,INV!C41,IF(B26=INV!B42,INV!C42,IF(B26=INV!B43,INV!C43,IF(B26=INV!B44,INV!C44,IF(B26=INV!B45,INV!C45,IF(B26=INV!B46,INV!C46,IF(B26=INV!B47,INV!C47,IF(B26=INV!B48,INV!C48,IF(B26=INV!B49,INV!C49,IF(B26=INV!B50,INV!C50,IF(B26=INV!B51,INV!C51,IF(B26=INV!B52,INV!C52,IF(B26=INV!B53,INV!C53,IF(B26=INV!B54,INV!C54,IF(B26=INV!B55,INV!C55,IF(B26=INV!B56,INV!C56))))))))))))))))))))))))))))))))))))))))))))))))))))))))</f>
        <v/>
      </c>
      <c r="D26" s="59" t="str">
        <f>IF(C26="","",IF(C26=INV!C2,INV!D2,IF(C26=INV!C3,INV!D3,IF(C26=INV!C4,INV!D4,IF(C26=INV!C5,INV!D5,IF(C26=INV!C6,INV!D6,IF(C26=INV!C7,INV!D7,IF(C26=INV!C8,INV!D8,IF(C26=INV!C9,INV!D9,IF(C26=INV!C10,INV!D10,IF(C26=INV!C11,INV!D11,IF(C26=INV!C12,INV!D12,IF(C26=INV!C13,INV!D13,IF(C26=INV!C14,INV!D14,IF(C26=INV!C15,INV!D15,IF(C26=INV!C16,INV!D16,IF(C26=INV!C17,INV!D17,IF(C26=INV!C18,INV!D18,IF(C26=INV!C19,INV!D19,IF(C26=INV!C20,INV!D20,IF(C26=INV!C21,INV!D21,IF(C26=INV!C22,INV!D22,IF(C26=INV!C23,INV!D23,IF(C26=INV!C24,INV!D24,IF(C26=INV!C25,INV!D25,IF(C26=INV!C26,INV!D26,IF(C26=INV!C27,INV!D27,IF(C26=INV!C28,INV!D28,IF(C26=INV!C29,INV!D29,IF(C26=INV!C30,INV!D30,IF(C26=INV!C31,INV!D31,IF(C26=INV!C32,INV!D32,IF(C26=INV!C33,INV!D33,IF(C26=INV!C34,INV!D34,IF(C26=INV!C35,INV!D35,IF(C26=INV!C36,INV!D36,IF(C26=INV!C37,INV!D327,IF(C26=INV!C38,INV!D38,IF(C26=INV!C39,INV!D39,IF(C26=INV!C40,INV!D40,IF(C26=INV!C41,INV!D41,IF(C26=INV!C42,INV!D42,IF(C26=INV!C43,INV!D43,IF(C26=INV!C44,INV!D44,IF(C26=INV!C45,INV!D45,IF(C26=INV!C46,INV!D46,IF(C26=INV!C47,INV!D47,IF(C26=INV!C48,INV!D48,IF(C26=INV!C49,INV!D49,IF(C26=INV!C50,INV!D50,IF(C26=INV!C51,INV!D51,IF(C26=INV!C52,INV!D52,IF(C26=INV!C53,INV!D53,IF(C26=INV!C54,INV!D54,IF(C26=INV!C55,INV!D55,IF(C26=INV!C56,INV!D56))))))))))))))))))))))))))))))))))))))))))))))))))))))))</f>
        <v/>
      </c>
      <c r="E26" s="60"/>
      <c r="F26" s="16"/>
      <c r="G26" s="17" t="str">
        <f>IF(B26="","",IF(B26=INV!B2,INV!F2,IF(B26=INV!B3,INV!F3,IF(B26=INV!B4,INV!F4,IF(B26=INV!B5,INV!F5,IF(B26=INV!B6,INV!F6,IF(B26=INV!B7,INV!F7,IF(B26=INV!B8,INV!F8,IF(B26=INV!B9,INV!F9,IF(B26=INV!B10,INV!F10,IF(B26=INV!B11,INV!F11,IF(B26=INV!B12,INV!F12,IF(B26=INV!B13,INV!F13,IF(B26=INV!B14,INV!F14,IF(B26=INV!B15,INV!F15,IF(B26=INV!B16,INV!F16,IF(B26=INV!B17,INV!F17,IF(B26=INV!B18,INV!F18,IF(B26=INV!B19,INV!F19,IF(B26=INV!B20,INV!F20,IF(B26=INV!B21,INV!F21,IF(B26=INV!B22,INV!F22,IF(B26=INV!B23,INV!F23,IF(B26=INV!B24,INV!F24,IF(B26=INV!B25,INV!F25,IF(B26=INV!B26,INV!F26,IF(B26=INV!B27,INV!F27,IF(B26=INV!B28,INV!F28,IF(B26=INV!B29,INV!F29,IF(B26=INV!B30,INV!F30,IF(B26=INV!B31,INV!F31,IF(B26=INV!B32,INV!F32,IF(B26=INV!B33,INV!F33,IF(B26=INV!B34,INV!F34,IF(B26=INV!B35,INV!F35,IF(B26=INV!B36,INV!F36,IF(B26=INV!B37,INV!F37,IF(B26=INV!B38,INV!F38,IF(B26=INV!B39,INV!F39,IF(B26=INV!B40,INV!F40,IF(B26=INV!B41,INV!F41,IF(B26=INV!B42,INV!F42,IF(B26=INV!B43,INV!F43,IF(B26=INV!B44,INV!F44,IF(B26=INV!B45,INV!F45,IF(B26=INV!B46,INV!F46,IF(B26=INV!B47,INV!F47,IF(B26=INV!B48,INV!F48,IF(B26=INV!B49,INV!F49,IF(B26=INV!B50,INV!F50,IF(B26=INV!B51,INV!F51,IF(B26=INV!B52,INV!F52,IF(B26=INV!B53,INV!F53,IF(B26=INV!B54,INV!F54,IF(B26=INV!B56,INV!F56)))))))))))))))))))))))))))))))))))))))))))))))))))))))</f>
        <v/>
      </c>
      <c r="H26" s="17" t="str">
        <f>IF(G26="","",G26*J16)</f>
        <v/>
      </c>
      <c r="I26" s="17" t="str">
        <f t="shared" si="0"/>
        <v/>
      </c>
      <c r="J26" s="17" t="str">
        <f>IF(G26="","",I26*J16)</f>
        <v/>
      </c>
      <c r="L26" s="43"/>
    </row>
    <row r="27" spans="2:12" ht="33.75" customHeight="1">
      <c r="B27" s="14"/>
      <c r="C27" s="15" t="str">
        <f>IF(B27="","",IF(B27=INV!B2,INV!C2,IF(B27=INV!B3,INV!C3,IF(B27=INV!B4,INV!C4,IF(B27=INV!B5,INV!C5,IF(B27=INV!B6,INV!C6,IF(B27=INV!B7,INV!C7,IF(B27=INV!B8,INV!C8,IF(B27=INV!B9,INV!C9,IF(B27=INV!B10,INV!C10,IF(B27=INV!B11,INV!C11,IF(B27=INV!B12,INV!C12,IF(B27=INV!B13,INV!C13,IF(B27=INV!B14,INV!C14,IF(B27=INV!B15,INV!C15,IF(B27=INV!B16,INV!C16,IF(B27=INV!B17,INV!C17,IF(B27=INV!B18,INV!C18,IF(B27=INV!B19,INV!C19,IF(B27=INV!B20,INV!C20,IF(B27=INV!B21,INV!C21,IF(B27=INV!B22,INV!C22,IF(B27=INV!B23,INV!C23,IF(B27=INV!B24,INV!C24,IF(B27=INV!B25,INV!C25,IF(B27=INV!B26,INV!C26,IF(B27=INV!B27,INV!C27,IF(B27=INV!B28,INV!C28,IF(B27=INV!B29,INV!C29,IF(B27=INV!B30,INV!C30,IF(B27=INV!B31,INV!C31,IF(B27=INV!B32,INV!C32,IF(B27=INV!B33,INV!C33,IF(B27=INV!B34,INV!C34,IF(B27=INV!B35,INV!C35,IF(B27=INV!B36,INV!C36,IF(B27=INV!B37,INV!C37,IF(B27=INV!B38,INV!C328,IF(B27=INV!B39,INV!C39,IF(B27=INV!B40,INV!C40,IF(B27=INV!B41,INV!C41,IF(B27=INV!B42,INV!C42,IF(B27=INV!B43,INV!C43,IF(B27=INV!B44,INV!C44,IF(B27=INV!B45,INV!C45,IF(B27=INV!B46,INV!C46,IF(B27=INV!B47,INV!C47,IF(B27=INV!B48,INV!C48,IF(B27=INV!B49,INV!C49,IF(B27=INV!B50,INV!C50,IF(B27=INV!B51,INV!C51,IF(B27=INV!B52,INV!C52,IF(B27=INV!B53,INV!C53,IF(B27=INV!B54,INV!C54,IF(B27=INV!B55,INV!C55,IF(B27=INV!B56,INV!C56,IF(B27=INV!B57,INV!C57)))))))))))))))))))))))))))))))))))))))))))))))))))))))))</f>
        <v/>
      </c>
      <c r="D27" s="59" t="str">
        <f>IF(C27="","",IF(C27=INV!C2,INV!D2,IF(C27=INV!C3,INV!D3,IF(C27=INV!C4,INV!D4,IF(C27=INV!C5,INV!D5,IF(C27=INV!C6,INV!D6,IF(C27=INV!C7,INV!D7,IF(C27=INV!C8,INV!D8,IF(C27=INV!C9,INV!D9,IF(C27=INV!C10,INV!D10,IF(C27=INV!C11,INV!D11,IF(C27=INV!C12,INV!D12,IF(C27=INV!C13,INV!D13,IF(C27=INV!C14,INV!D14,IF(C27=INV!C15,INV!D15,IF(C27=INV!C16,INV!D16,IF(C27=INV!C17,INV!D17,IF(C27=INV!C18,INV!D18,IF(C27=INV!C19,INV!D19,IF(C27=INV!C20,INV!D20,IF(C27=INV!C21,INV!D21,IF(C27=INV!C22,INV!D22,IF(C27=INV!C23,INV!D23,IF(C27=INV!C24,INV!D24,IF(C27=INV!C25,INV!D25,IF(C27=INV!C26,INV!D26,IF(C27=INV!C27,INV!D27,IF(C27=INV!C28,INV!D28,IF(C27=INV!C29,INV!D29,IF(C27=INV!C30,INV!D30,IF(C27=INV!C31,INV!D31,IF(C27=INV!C32,INV!D32,IF(C27=INV!C33,INV!D33,IF(C27=INV!C34,INV!D34,IF(C27=INV!C35,INV!D35,IF(C27=INV!C36,INV!D36,IF(C27=INV!C37,INV!D37,IF(C27=INV!C38,INV!D328,IF(C27=INV!C39,INV!D39,IF(C27=INV!C40,INV!D40,IF(C27=INV!C41,INV!D41,IF(C27=INV!C42,INV!D42,IF(C27=INV!C43,INV!D43,IF(C27=INV!C44,INV!D44,IF(C27=INV!C45,INV!D45,IF(C27=INV!C46,INV!D46,IF(C27=INV!C47,INV!D47,IF(C27=INV!C48,INV!D48,IF(C27=INV!C49,INV!D49,IF(C27=INV!C50,INV!D50,IF(C27=INV!C51,INV!D51,IF(C27=INV!C52,INV!D52,IF(C27=INV!C53,INV!D53,IF(C27=INV!C54,INV!D54,IF(C27=INV!C55,INV!D55,IF(C27=INV!C56,INV!D56,IF(C27=INV!C57,INV!D57)))))))))))))))))))))))))))))))))))))))))))))))))))))))))</f>
        <v/>
      </c>
      <c r="E27" s="60"/>
      <c r="F27" s="16"/>
      <c r="G27" s="17" t="str">
        <f>IF(B27="","",IF(B27=INV!B2,INV!F2,IF(B27=INV!B3,INV!F3,IF(B27=INV!B4,INV!F4,IF(B27=INV!B5,INV!F5,IF(B27=INV!B6,INV!F6,IF(B27=INV!B7,INV!F7,IF(B27=INV!B8,INV!F8,IF(B27=INV!B9,INV!F9,IF(B27=INV!B10,INV!F10,IF(B27=INV!B11,INV!F11,IF(B27=INV!B12,INV!F12,IF(B27=INV!B13,INV!F13,IF(B27=INV!B14,INV!F14,IF(B27=INV!B15,INV!F15,IF(B27=INV!B16,INV!F16,IF(B27=INV!B17,INV!F17,IF(B27=INV!B18,INV!F18,IF(B27=INV!B19,INV!F19,IF(B27=INV!B20,INV!F20,IF(B27=INV!B21,INV!F21,IF(B27=INV!B22,INV!F22,IF(B27=INV!B23,INV!F23,IF(B27=INV!B24,INV!F24,IF(B27=INV!B25,INV!F25,IF(B27=INV!B26,INV!F26,IF(B27=INV!B27,INV!F27,IF(B27=INV!B28,INV!F28,IF(B27=INV!B29,INV!F29,IF(B27=INV!B30,INV!F30,IF(B27=INV!B31,INV!F31,IF(B27=INV!B32,INV!F32,IF(B27=INV!B33,INV!F33,IF(B27=INV!B34,INV!F34,IF(B27=INV!B35,INV!F35,IF(B27=INV!B36,INV!F36,IF(B27=INV!B37,INV!F37,IF(B27=INV!B38,INV!F38,IF(B27=INV!B39,INV!F39,IF(B27=INV!B40,INV!F40,IF(B27=INV!B41,INV!F41,IF(B27=INV!B42,INV!F42,IF(B27=INV!B43,INV!F43,IF(B27=INV!B44,INV!F44,IF(B27=INV!B45,INV!F45,IF(B27=INV!B46,INV!F46,IF(B27=INV!B47,INV!F47,IF(B27=INV!B48,INV!F48,IF(B27=INV!B49,INV!F49,IF(B27=INV!B50,INV!F50,IF(B27=INV!B51,INV!F51,IF(B27=INV!B52,INV!F52,IF(B27=INV!B53,INV!F53,IF(B27=INV!B54,INV!F54,IF(B27=INV!B55,INV!F55,IF(B27=INV!B57,INV!F57))))))))))))))))))))))))))))))))))))))))))))))))))))))))</f>
        <v/>
      </c>
      <c r="H27" s="17" t="str">
        <f>IF(G27="","",G27*J16)</f>
        <v/>
      </c>
      <c r="I27" s="17" t="str">
        <f t="shared" si="0"/>
        <v/>
      </c>
      <c r="J27" s="17" t="str">
        <f>IF(G27="","",I27*J16)</f>
        <v/>
      </c>
      <c r="L27" s="43"/>
    </row>
    <row r="28" spans="2:12" ht="33.75" customHeight="1">
      <c r="B28" s="14"/>
      <c r="C28" s="15" t="str">
        <f>IF(B28="","",IF(B28=INV!B2,INV!C2,IF(B28=INV!B3,INV!C3,IF(B28=INV!B4,INV!C4,IF(B28=INV!B5,INV!C5,IF(B28=INV!B6,INV!C6,IF(B28=INV!B7,INV!C7,IF(B28=INV!B8,INV!C8,IF(B28=INV!B9,INV!C9,IF(B28=INV!B10,INV!C10,IF(B28=INV!B11,INV!C11,IF(B28=INV!B12,INV!C12,IF(B28=INV!B13,INV!C13,IF(B28=INV!B14,INV!C14,IF(B28=INV!B15,INV!C15,IF(B28=INV!B16,INV!C16,IF(B28=INV!B17,INV!C17,IF(B28=INV!B18,INV!C18,IF(B28=INV!B19,INV!C19,IF(B28=INV!B20,INV!C20,IF(B28=INV!B21,INV!C21,IF(B28=INV!B22,INV!C22,IF(B28=INV!B23,INV!C23,IF(B28=INV!B24,INV!C24,IF(B28=INV!B25,INV!C25,IF(B28=INV!B26,INV!C26,IF(B28=INV!B27,INV!C27,IF(B28=INV!B28,INV!C28,IF(B28=INV!B29,INV!C29,IF(B28=INV!B30,INV!C30,IF(B28=INV!B31,INV!C31,IF(B28=INV!B32,INV!C32,IF(B28=INV!B33,INV!C33,IF(B28=INV!B34,INV!C34,IF(B28=INV!B35,INV!C35,IF(B28=INV!B36,INV!C36,IF(B28=INV!B37,INV!C37,IF(B28=INV!B38,INV!C38,IF(B28=INV!B39,INV!C329,IF(B28=INV!B40,INV!C40,IF(B28=INV!B41,INV!C41,IF(B28=INV!B42,INV!C42,IF(B28=INV!B43,INV!C43,IF(B28=INV!B44,INV!C44,IF(B28=INV!B45,INV!C45,IF(B28=INV!B46,INV!C46,IF(B28=INV!B47,INV!C47,IF(B28=INV!B48,INV!C48,IF(B28=INV!B49,INV!C49,IF(B28=INV!B50,INV!C50,IF(B28=INV!B51,INV!C51,IF(B28=INV!B52,INV!C52,IF(B28=INV!B53,INV!C53,IF(B28=INV!B54,INV!C54,IF(B28=INV!B55,INV!C55,IF(B28=INV!B56,INV!C56,IF(B28=INV!B57,INV!C57,IF(B28=INV!B58,INV!C58))))))))))))))))))))))))))))))))))))))))))))))))))))))))))</f>
        <v/>
      </c>
      <c r="D28" s="59" t="str">
        <f>IF(C28="","",IF(C28=INV!C2,INV!D2,IF(C28=INV!C3,INV!D3,IF(C28=INV!C4,INV!D4,IF(C28=INV!C5,INV!D5,IF(C28=INV!C6,INV!D6,IF(C28=INV!C7,INV!D7,IF(C28=INV!C8,INV!D8,IF(C28=INV!C9,INV!D9,IF(C28=INV!C10,INV!D10,IF(C28=INV!C11,INV!D11,IF(C28=INV!C12,INV!D12,IF(C28=INV!C13,INV!D13,IF(C28=INV!C14,INV!D14,IF(C28=INV!C15,INV!D15,IF(C28=INV!C16,INV!D16,IF(C28=INV!C17,INV!D17,IF(C28=INV!C18,INV!D18,IF(C28=INV!C19,INV!D19,IF(C28=INV!C20,INV!D20,IF(C28=INV!C21,INV!D21,IF(C28=INV!C22,INV!D22,IF(C28=INV!C23,INV!D23,IF(C28=INV!C24,INV!D24,IF(C28=INV!C25,INV!D25,IF(C28=INV!C26,INV!D26,IF(C28=INV!C27,INV!D27,IF(C28=INV!C28,INV!D28,IF(C28=INV!C29,INV!D29,IF(C28=INV!C30,INV!D30,IF(C28=INV!C31,INV!D31,IF(C28=INV!C32,INV!D32,IF(C28=INV!C33,INV!D33,IF(C28=INV!C34,INV!D34,IF(C28=INV!C35,INV!D35,IF(C28=INV!C36,INV!D36,IF(C28=INV!C37,INV!D37,IF(C28=INV!C38,INV!D38,IF(C28=INV!C39,INV!D329,IF(C28=INV!C40,INV!D40,IF(C28=INV!C41,INV!D41,IF(C28=INV!C42,INV!D42,IF(C28=INV!C43,INV!D43,IF(C28=INV!C44,INV!D44,IF(C28=INV!C45,INV!D45,IF(C28=INV!C46,INV!D46,IF(C28=INV!C47,INV!D47,IF(C28=INV!C48,INV!D48,IF(C28=INV!C49,INV!D49,IF(C28=INV!C50,INV!D50,IF(C28=INV!C51,INV!D51,IF(C28=INV!C52,INV!D52,IF(C28=INV!C53,INV!D53,IF(C28=INV!C54,INV!D54,IF(C28=INV!C55,INV!D55,IF(C28=INV!C56,INV!D56,IF(C28=INV!C57,INV!D57,IF(C28=INV!C58,INV!D58))))))))))))))))))))))))))))))))))))))))))))))))))))))))))</f>
        <v/>
      </c>
      <c r="E28" s="60"/>
      <c r="F28" s="16"/>
      <c r="G28" s="17" t="str">
        <f>IF(B28="","",IF(B28=INV!B2,INV!F2,IF(B28=INV!B3,INV!F3,IF(B28=INV!B4,INV!F4,IF(B28=INV!B5,INV!F5,IF(B28=INV!B6,INV!F6,IF(B28=INV!B7,INV!F7,IF(B28=INV!B8,INV!F8,IF(B28=INV!B9,INV!F9,IF(B28=INV!B10,INV!F10,IF(B28=INV!B11,INV!F11,IF(B28=INV!B12,INV!F12,IF(B28=INV!B13,INV!F13,IF(B28=INV!B14,INV!F14,IF(B28=INV!B15,INV!F15,IF(B28=INV!B16,INV!F16,IF(B28=INV!B17,INV!F17,IF(B28=INV!B18,INV!F18,IF(B28=INV!B19,INV!F19,IF(B28=INV!B20,INV!F20,IF(B28=INV!B21,INV!F21,IF(B28=INV!B22,INV!F22,IF(B28=INV!B23,INV!F23,IF(B28=INV!B24,INV!F24,IF(B28=INV!B25,INV!F25,IF(B28=INV!B26,INV!F26,IF(B28=INV!B27,INV!F27,IF(B28=INV!B28,INV!F28,IF(B28=INV!B29,INV!F29,IF(B28=INV!B30,INV!F30,IF(B28=INV!B31,INV!F31,IF(B28=INV!B32,INV!F32,IF(B28=INV!B33,INV!F33,IF(B28=INV!B34,INV!F34,IF(B28=INV!B35,INV!F35,IF(B28=INV!B36,INV!F36,IF(B28=INV!B37,INV!F37,IF(B28=INV!B38,INV!F38,IF(B28=INV!B39,INV!F39,IF(B28=INV!B40,INV!F40,IF(B28=INV!B41,INV!F41,IF(B28=INV!B42,INV!F42,IF(B28=INV!B43,INV!F43,IF(B28=INV!B44,INV!F44,IF(B28=INV!B45,INV!F45,IF(B28=INV!B46,INV!F46,IF(B28=INV!B47,INV!F47,IF(B28=INV!B48,INV!F48,IF(B28=INV!B49,INV!F49,IF(B28=INV!B50,INV!F50,IF(B28=INV!B51,INV!F51,IF(B28=INV!B52,INV!F52,IF(B28=INV!B53,INV!F53,IF(B28=INV!B54,INV!F54,IF(B28=INV!B55,INV!F55,IF(B28=INV!B56,INV!F56,IF(B28=INV!B58,INV!F58)))))))))))))))))))))))))))))))))))))))))))))))))))))))))</f>
        <v/>
      </c>
      <c r="H28" s="17" t="str">
        <f>IF(G28="","",G28*J16)</f>
        <v/>
      </c>
      <c r="I28" s="17" t="str">
        <f t="shared" si="0"/>
        <v/>
      </c>
      <c r="J28" s="17" t="str">
        <f>IF(G28="","",I28*J16)</f>
        <v/>
      </c>
      <c r="L28" s="43"/>
    </row>
    <row r="29" spans="2:12" ht="33.75" customHeight="1">
      <c r="B29" s="14"/>
      <c r="C29" s="15" t="str">
        <f>IF(B29="","",IF(B29=INV!B2,INV!C2,IF(B29=INV!B3,INV!C3,IF(B29=INV!B4,INV!C4,IF(B29=INV!B5,INV!C5,IF(B29=INV!B6,INV!C6,IF(B29=INV!B7,INV!C7,IF(B29=INV!B8,INV!C8,IF(B29=INV!B9,INV!C9,IF(B29=INV!B10,INV!C10,IF(B29=INV!B11,INV!C11,IF(B29=INV!B12,INV!C12,IF(B29=INV!B13,INV!C13,IF(B29=INV!B14,INV!C14,IF(B29=INV!B15,INV!C15,IF(B29=INV!B16,INV!C16,IF(B29=INV!B17,INV!C17,IF(B29=INV!B18,INV!C18,IF(B29=INV!B19,INV!C19,IF(B29=INV!B20,INV!C20,IF(B29=INV!B21,INV!C21,IF(B29=INV!B22,INV!C22,IF(B29=INV!B23,INV!C23,IF(B29=INV!B24,INV!C24,IF(B29=INV!B25,INV!C25,IF(B29=INV!B26,INV!C26,IF(B29=INV!B27,INV!C27,IF(B29=INV!B28,INV!C28,IF(B29=INV!B29,INV!C29,IF(B29=INV!B30,INV!C30,IF(B29=INV!B31,INV!C31,IF(B29=INV!B32,INV!C32,IF(B29=INV!B33,INV!C33,IF(B29=INV!B34,INV!C34,IF(B29=INV!B35,INV!C35,IF(B29=INV!B36,INV!C36,IF(B29=INV!B37,INV!C37,IF(B29=INV!B38,INV!C38,IF(B29=INV!B39,INV!C39,IF(B29=INV!B40,INV!C330,IF(B29=INV!B41,INV!C41,IF(B29=INV!B42,INV!C42,IF(B29=INV!B43,INV!C43,IF(B29=INV!B44,INV!C44,IF(B29=INV!B45,INV!C45,IF(B29=INV!B46,INV!C46,IF(B29=INV!B47,INV!C47,IF(B29=INV!B48,INV!C48,IF(B29=INV!B49,INV!C49,IF(B29=INV!B50,INV!C50,IF(B29=INV!B51,INV!C51,IF(B29=INV!B52,INV!C52,IF(B29=INV!B53,INV!C53,IF(B29=INV!B54,INV!C54,IF(B29=INV!B55,INV!C55,IF(B29=INV!B56,INV!C56,IF(B29=INV!B57,INV!C57,IF(B29=INV!B58,INV!C58,IF(B29=INV!B59,INV!C59)))))))))))))))))))))))))))))))))))))))))))))))))))))))))))</f>
        <v/>
      </c>
      <c r="D29" s="59" t="str">
        <f>IF(C29="","",IF(C29=INV!C2,INV!D2,IF(C29=INV!C3,INV!D3,IF(C29=INV!C4,INV!D4,IF(C29=INV!C5,INV!D5,IF(C29=INV!C6,INV!D6,IF(C29=INV!C7,INV!D7,IF(C29=INV!C8,INV!D8,IF(C29=INV!C9,INV!D9,IF(C29=INV!C10,INV!D10,IF(C29=INV!C11,INV!D11,IF(C29=INV!C12,INV!D12,IF(C29=INV!C13,INV!D13,IF(C29=INV!C14,INV!D14,IF(C29=INV!C15,INV!D15,IF(C29=INV!C16,INV!D16,IF(C29=INV!C17,INV!D17,IF(C29=INV!C18,INV!D18,IF(C29=INV!C19,INV!D19,IF(C29=INV!C20,INV!D20,IF(C29=INV!C21,INV!D21,IF(C29=INV!C22,INV!D22,IF(C29=INV!C23,INV!D23,IF(C29=INV!C24,INV!D24,IF(C29=INV!C25,INV!D25,IF(C29=INV!C26,INV!D26,IF(C29=INV!C27,INV!D27,IF(C29=INV!C28,INV!D28,IF(C29=INV!C29,INV!D29,IF(C29=INV!C30,INV!D30,IF(C29=INV!C31,INV!D31,IF(C29=INV!C32,INV!D32,IF(C29=INV!C33,INV!D33,IF(C29=INV!C34,INV!D34,IF(C29=INV!C35,INV!D35,IF(C29=INV!C36,INV!D36,IF(C29=INV!C37,INV!D37,IF(C29=INV!C38,INV!D38,IF(C29=INV!C39,INV!D39,IF(C29=INV!C40,INV!D330,IF(C29=INV!C41,INV!D41,IF(C29=INV!C42,INV!D42,IF(C29=INV!C43,INV!D43,IF(C29=INV!C44,INV!D44,IF(C29=INV!C45,INV!D45,IF(C29=INV!C46,INV!D46,IF(C29=INV!C47,INV!D47,IF(C29=INV!C48,INV!D48,IF(C29=INV!C49,INV!D49,IF(C29=INV!C50,INV!D50,IF(C29=INV!C51,INV!D51,IF(C29=INV!C52,INV!D52,IF(C29=INV!C53,INV!D53,IF(C29=INV!C54,INV!D54,IF(C29=INV!C55,INV!D55,IF(C29=INV!C56,INV!D56,IF(C29=INV!C57,INV!D57,IF(C29=INV!C58,INV!D58,IF(C29=INV!C59,INV!D59)))))))))))))))))))))))))))))))))))))))))))))))))))))))))))</f>
        <v/>
      </c>
      <c r="E29" s="60"/>
      <c r="F29" s="16"/>
      <c r="G29" s="17" t="str">
        <f>IF(B29="","",IF(B29=INV!B2,INV!F2,IF(B29=INV!B3,INV!F3,IF(B29=INV!B4,INV!F4,IF(B29=INV!B5,INV!F5,IF(B29=INV!B6,INV!F6,IF(B29=INV!B7,INV!F7,IF(B29=INV!B8,INV!F8,IF(B29=INV!B9,INV!F9,IF(B29=INV!B10,INV!F10,IF(B29=INV!B11,INV!F11,IF(B29=INV!B12,INV!F12,IF(B29=INV!B13,INV!F13,IF(B29=INV!B14,INV!F14,IF(B29=INV!B15,INV!F15,IF(B29=INV!B16,INV!F16,IF(B29=INV!B17,INV!F17,IF(B29=INV!B18,INV!F18,IF(B29=INV!B19,INV!F19,IF(B29=INV!B20,INV!F20,IF(B29=INV!B21,INV!F21,IF(B29=INV!B22,INV!F22,IF(B29=INV!B23,INV!F23,IF(B29=INV!B24,INV!F24,IF(B29=INV!B25,INV!F25,IF(B29=INV!B26,INV!F26,IF(B29=INV!B27,INV!F27,IF(B29=INV!B28,INV!F28,IF(B29=INV!B29,INV!F29,IF(B29=INV!B30,INV!F30,IF(B29=INV!B31,INV!F31,IF(B29=INV!B32,INV!F32,IF(B29=INV!B33,INV!F33,IF(B29=INV!B34,INV!F34,IF(B29=INV!B35,INV!F35,IF(B29=INV!B36,INV!F36,IF(B29=INV!B37,INV!F37,IF(B29=INV!B38,INV!F38,IF(B29=INV!B39,INV!F39,IF(B29=INV!B40,INV!F40,IF(B29=INV!B41,INV!F41,IF(B29=INV!B42,INV!F42,IF(B29=INV!B43,INV!F43,IF(B29=INV!B44,INV!F44,IF(B29=INV!B45,INV!F45,IF(B29=INV!B46,INV!F46,IF(B29=INV!B47,INV!F47,IF(B29=INV!B48,INV!F48,IF(B29=INV!B49,INV!F49,IF(B29=INV!B50,INV!F50,IF(B29=INV!B51,INV!F51,IF(B29=INV!B52,INV!F52,IF(B29=INV!B53,INV!F53,IF(B29=INV!B54,INV!F54,IF(B29=INV!B55,INV!F55,IF(B29=INV!B56,INV!F56,IF(B29=INV!B57,INV!F57,IF(B29=INV!B59,INV!F59))))))))))))))))))))))))))))))))))))))))))))))))))))))))))</f>
        <v/>
      </c>
      <c r="H29" s="17" t="str">
        <f>IF(G29="","",G29*J16)</f>
        <v/>
      </c>
      <c r="I29" s="17" t="str">
        <f t="shared" si="0"/>
        <v/>
      </c>
      <c r="J29" s="17" t="str">
        <f>IF(G29="","",I29*J16)</f>
        <v/>
      </c>
      <c r="L29" s="43"/>
    </row>
    <row r="30" spans="2:12" ht="33.75" customHeight="1">
      <c r="B30" s="14"/>
      <c r="C30" s="15" t="str">
        <f>IF(B30="","",IF(B30=INV!B2,INV!C2,IF(B30=INV!B3,INV!C3,IF(B30=INV!B4,INV!C4,IF(B30=INV!B5,INV!C5,IF(B30=INV!B6,INV!C6,IF(B30=INV!B7,INV!C7,IF(B30=INV!B8,INV!C8,IF(B30=INV!B9,INV!C9,IF(B30=INV!B10,INV!C10,IF(B30=INV!B11,INV!C11,IF(B30=INV!B12,INV!C12,IF(B30=INV!B13,INV!C13,IF(B30=INV!B14,INV!C14,IF(B30=INV!B15,INV!C15,IF(B30=INV!B16,INV!C16,IF(B30=INV!B17,INV!C17,IF(B30=INV!B18,INV!C18,IF(B30=INV!B19,INV!C19,IF(B30=INV!B20,INV!C20,IF(B30=INV!B21,INV!C21,IF(B30=INV!B22,INV!C22,IF(B30=INV!B23,INV!C23,IF(B30=INV!B24,INV!C24,IF(B30=INV!B25,INV!C25,IF(B30=INV!B26,INV!C26,IF(B30=INV!B27,INV!C27,IF(B30=INV!B28,INV!C28,IF(B30=INV!B29,INV!C29,IF(B30=INV!B30,INV!C30,IF(B30=INV!B31,INV!C31,IF(B30=INV!B32,INV!C32,IF(B30=INV!B33,INV!C33,IF(B30=INV!B34,INV!C34,IF(B30=INV!B35,INV!C35,IF(B30=INV!B36,INV!C36,IF(B30=INV!B37,INV!C37,IF(B30=INV!B38,INV!C38,IF(B30=INV!B39,INV!C39,IF(B30=INV!B40,INV!C40,IF(B30=INV!B41,INV!C331,IF(B30=INV!B42,INV!C42,IF(B30=INV!B43,INV!C43,IF(B30=INV!B44,INV!C44,IF(B30=INV!B45,INV!C45,IF(B30=INV!B46,INV!C46,IF(B30=INV!B47,INV!C47,IF(B30=INV!B48,INV!C48,IF(B30=INV!B49,INV!C49,IF(B30=INV!B50,INV!C50,IF(B30=INV!B51,INV!C51,IF(B30=INV!B52,INV!C52,IF(B30=INV!B53,INV!C53,IF(B30=INV!B54,INV!C54,IF(B30=INV!B55,INV!C55,IF(B30=INV!B56,INV!C56,IF(B30=INV!B57,INV!C57,IF(B30=INV!B58,INV!C58,IF(B30=INV!B59,INV!C59,IF(B30=INV!B60,INV!C60))))))))))))))))))))))))))))))))))))))))))))))))))))))))))))</f>
        <v/>
      </c>
      <c r="D30" s="59" t="str">
        <f>IF(C30="","",IF(C30=INV!C2,INV!D2,IF(C30=INV!C3,INV!D3,IF(C30=INV!C4,INV!D4,IF(C30=INV!C5,INV!D5,IF(C30=INV!C6,INV!D6,IF(C30=INV!C7,INV!D7,IF(C30=INV!C8,INV!D8,IF(C30=INV!C9,INV!D9,IF(C30=INV!C10,INV!D10,IF(C30=INV!C11,INV!D11,IF(C30=INV!C12,INV!D12,IF(C30=INV!C13,INV!D13,IF(C30=INV!C14,INV!D14,IF(C30=INV!C15,INV!D15,IF(C30=INV!C16,INV!D16,IF(C30=INV!C17,INV!D17,IF(C30=INV!C18,INV!D18,IF(C30=INV!C19,INV!D19,IF(C30=INV!C20,INV!D20,IF(C30=INV!C21,INV!D21,IF(C30=INV!C22,INV!D22,IF(C30=INV!C23,INV!D23,IF(C30=INV!C24,INV!D24,IF(C30=INV!C25,INV!D25,IF(C30=INV!C26,INV!D26,IF(C30=INV!C27,INV!D27,IF(C30=INV!C28,INV!D28,IF(C30=INV!C29,INV!D29,IF(C30=INV!C30,INV!D30,IF(C30=INV!C31,INV!D31,IF(C30=INV!C32,INV!D32,IF(C30=INV!C33,INV!D33,IF(C30=INV!C34,INV!D34,IF(C30=INV!C35,INV!D35,IF(C30=INV!C36,INV!D36,IF(C30=INV!C37,INV!D37,IF(C30=INV!C38,INV!D38,IF(C30=INV!C39,INV!D39,IF(C30=INV!C40,INV!D40,IF(C30=INV!C41,INV!D331,IF(C30=INV!C42,INV!D42,IF(C30=INV!C43,INV!D43,IF(C30=INV!C44,INV!D44,IF(C30=INV!C45,INV!D45,IF(C30=INV!C46,INV!D46,IF(C30=INV!C47,INV!D47,IF(C30=INV!C48,INV!D48,IF(C30=INV!C49,INV!D49,IF(C30=INV!C50,INV!D50,IF(C30=INV!C51,INV!D51,IF(C30=INV!C52,INV!D52,IF(C30=INV!C53,INV!D53,IF(C30=INV!C54,INV!D54,IF(C30=INV!C55,INV!D55,IF(C30=INV!C56,INV!D56,IF(C30=INV!C57,INV!D57,IF(C30=INV!C58,INV!D58,IF(C30=INV!C59,INV!D59,IF(C30=INV!C60,INV!D60))))))))))))))))))))))))))))))))))))))))))))))))))))))))))))</f>
        <v/>
      </c>
      <c r="E30" s="60"/>
      <c r="F30" s="16"/>
      <c r="G30" s="17" t="str">
        <f>IF(B30="","",IF(B30=INV!B2,INV!F2,IF(B30=INV!B3,INV!F3,IF(B30=INV!B4,INV!F4,IF(B30=INV!B5,INV!F5,IF(B30=INV!B6,INV!F6,IF(B30=INV!B7,INV!F7,IF(B30=INV!B8,INV!F8,IF(B30=INV!B9,INV!F9,IF(B30=INV!B10,INV!F10,IF(B30=INV!B11,INV!F11,IF(B30=INV!B12,INV!F12,IF(B30=INV!B13,INV!F13,IF(B30=INV!B14,INV!F14,IF(B30=INV!B15,INV!F15,IF(B30=INV!B16,INV!F16,IF(B30=INV!B17,INV!F17,IF(B30=INV!B18,INV!F18,IF(B30=INV!B19,INV!F19,IF(B30=INV!B20,INV!F20,IF(B30=INV!B21,INV!F21,IF(B30=INV!B22,INV!F22,IF(B30=INV!B23,INV!F23,IF(B30=INV!B24,INV!F24,IF(B30=INV!B25,INV!F25,IF(B30=INV!B26,INV!F26,IF(B30=INV!B27,INV!F27,IF(B30=INV!B28,INV!F28,IF(B30=INV!B29,INV!F29,IF(B30=INV!B30,INV!F30,IF(B30=INV!B31,INV!F31,IF(B30=INV!B32,INV!F32,IF(B30=INV!B33,INV!F33,IF(B30=INV!B34,INV!F34,IF(B30=INV!B35,INV!F35,IF(B30=INV!B36,INV!F36,IF(B30=INV!B37,INV!F37,IF(B30=INV!B38,INV!F38,IF(B30=INV!B39,INV!F39,IF(B30=INV!B40,INV!F40,IF(B30=INV!B41,INV!F41,IF(B30=INV!B42,INV!F42,IF(B30=INV!B43,INV!F43,IF(B30=INV!B44,INV!F44,IF(B30=INV!B45,INV!F45,IF(B30=INV!B46,INV!F46,IF(B30=INV!B47,INV!F47,IF(B30=INV!B48,INV!F48,IF(B30=INV!B49,INV!F49,IF(B30=INV!B50,INV!F50,IF(B30=INV!B51,INV!F51,IF(B30=INV!B52,INV!F52,IF(B30=INV!B53,INV!F53,IF(B30=INV!B54,INV!F54,IF(B30=INV!B55,INV!F55,IF(B30=INV!B56,INV!F56,IF(B30=INV!B57,INV!F57,IF(B30=INV!B58,INV!F58,IF(B30=INV!B60,INV!F60)))))))))))))))))))))))))))))))))))))))))))))))))))))))))))</f>
        <v/>
      </c>
      <c r="H30" s="17" t="str">
        <f>IF(G30="","",G30*J16)</f>
        <v/>
      </c>
      <c r="I30" s="17" t="str">
        <f t="shared" si="0"/>
        <v/>
      </c>
      <c r="J30" s="17" t="str">
        <f>IF(G30="","",I30*J16)</f>
        <v/>
      </c>
      <c r="L30" s="43"/>
    </row>
    <row r="31" spans="2:12" ht="33.75" customHeight="1">
      <c r="B31" s="14"/>
      <c r="C31" s="15" t="str">
        <f>IF(B31="","",IF(B31=INV!B2,INV!C2,IF(B31=INV!B3,INV!C3,IF(B31=INV!B4,INV!C4,IF(B31=INV!B5,INV!C5,IF(B31=INV!B6,INV!C6,IF(B31=INV!B7,INV!C7,IF(B31=INV!B8,INV!C8,IF(B31=INV!B9,INV!C9,IF(B31=INV!B10,INV!C10,IF(B31=INV!B11,INV!C11,IF(B31=INV!B12,INV!C12,IF(B31=INV!B13,INV!C13,IF(B31=INV!B14,INV!C14,IF(B31=INV!B15,INV!C15,IF(B31=INV!B16,INV!C16,IF(B31=INV!B17,INV!C17,IF(B31=INV!B18,INV!C18,IF(B31=INV!B19,INV!C19,IF(B31=INV!B20,INV!C20,IF(B31=INV!B21,INV!C21,IF(B31=INV!B22,INV!C22,IF(B31=INV!B23,INV!C23,IF(B31=INV!B24,INV!C24,IF(B31=INV!B25,INV!C25,IF(B31=INV!B26,INV!C26,IF(B31=INV!B27,INV!C27,IF(B31=INV!B28,INV!C28,IF(B31=INV!B29,INV!C29,IF(B31=INV!B30,INV!C30,IF(B31=INV!B31,INV!C31,IF(B31=INV!B32,INV!C32,IF(B31=INV!B33,INV!C33,IF(B31=INV!B34,INV!C34,IF(B31=INV!B35,INV!C35,IF(B31=INV!B36,INV!C36,IF(B31=INV!B37,INV!C37,IF(B31=INV!B38,INV!C38,IF(B31=INV!B39,INV!C39,IF(B31=INV!B40,INV!C40,IF(B31=INV!B41,INV!C41,IF(B31=INV!B42,INV!C332,IF(B31=INV!B43,INV!C43,IF(B31=INV!B44,INV!C44,IF(B31=INV!B45,INV!C45,IF(B31=INV!B46,INV!C46,IF(B31=INV!B47,INV!C47,IF(B31=INV!B48,INV!C48,IF(B31=INV!B49,INV!C49,IF(B31=INV!B50,INV!C50,IF(B31=INV!B51,INV!C51,IF(B31=INV!B52,INV!C52,IF(B31=INV!B53,INV!C53,IF(B31=INV!B54,INV!C54,IF(B31=INV!B55,INV!C55,IF(B31=INV!B56,INV!C56,IF(B31=INV!B57,INV!C57,IF(B31=INV!B58,INV!C58,IF(B31=INV!B59,INV!C59,IF(B31=INV!B60,INV!C60,IF(B31=INV!B61,INV!C61)))))))))))))))))))))))))))))))))))))))))))))))))))))))))))))</f>
        <v/>
      </c>
      <c r="D31" s="59" t="str">
        <f>IF(C31="","",IF(C31=INV!C2,INV!D2,IF(C31=INV!C3,INV!D3,IF(C31=INV!C4,INV!D4,IF(C31=INV!C5,INV!D5,IF(C31=INV!C6,INV!D6,IF(C31=INV!C7,INV!D7,IF(C31=INV!C8,INV!D8,IF(C31=INV!C9,INV!D9,IF(C31=INV!C10,INV!D10,IF(C31=INV!C11,INV!D11,IF(C31=INV!C12,INV!D12,IF(C31=INV!C13,INV!D13,IF(C31=INV!C14,INV!D14,IF(C31=INV!C15,INV!D15,IF(C31=INV!C16,INV!D16,IF(C31=INV!C17,INV!D17,IF(C31=INV!C18,INV!D18,IF(C31=INV!C19,INV!D19,IF(C31=INV!C20,INV!D20,IF(C31=INV!C21,INV!D21,IF(C31=INV!C22,INV!D22,IF(C31=INV!C23,INV!D23,IF(C31=INV!C24,INV!D24,IF(C31=INV!C25,INV!D25,IF(C31=INV!C26,INV!D26,IF(C31=INV!C27,INV!D27,IF(C31=INV!C28,INV!D28,IF(C31=INV!C29,INV!D29,IF(C31=INV!C30,INV!D30,IF(C31=INV!C31,INV!D31,IF(C31=INV!C32,INV!D32,IF(C31=INV!C33,INV!D33,IF(C31=INV!C34,INV!D34,IF(C31=INV!C35,INV!D35,IF(C31=INV!C36,INV!D36,IF(C31=INV!C37,INV!D37,IF(C31=INV!C38,INV!D38,IF(C31=INV!C39,INV!D39,IF(C31=INV!C40,INV!D40,IF(C31=INV!C41,INV!D41,IF(C31=INV!C42,INV!D332,IF(C31=INV!C43,INV!D43,IF(C31=INV!C44,INV!D44,IF(C31=INV!C45,INV!D45,IF(C31=INV!C46,INV!D46,IF(C31=INV!C47,INV!D47,IF(C31=INV!C48,INV!D48,IF(C31=INV!C49,INV!D49,IF(C31=INV!C50,INV!D50,IF(C31=INV!C51,INV!D51,IF(C31=INV!C52,INV!D52,IF(C31=INV!C53,INV!D53,IF(C31=INV!C54,INV!D54,IF(C31=INV!C55,INV!D55,IF(C31=INV!C56,INV!D56,IF(C31=INV!C57,INV!D57,IF(C31=INV!C58,INV!D58,IF(C31=INV!C59,INV!D59,IF(C31=INV!C60,INV!D60,IF(C31=INV!C61,INV!D61)))))))))))))))))))))))))))))))))))))))))))))))))))))))))))))</f>
        <v/>
      </c>
      <c r="E31" s="60"/>
      <c r="F31" s="16"/>
      <c r="G31" s="17" t="str">
        <f>IF(B31="","",IF(B31=INV!B2,INV!F2,IF(B31=INV!B3,INV!F3,IF(B31=INV!B4,INV!F4,IF(B31=INV!B5,INV!F5,IF(B31=INV!B6,INV!F6,IF(B31=INV!B7,INV!F7,IF(B31=INV!B8,INV!F8,IF(B31=INV!B9,INV!F9,IF(B31=INV!B10,INV!F10,IF(B31=INV!B11,INV!F11,IF(B31=INV!B12,INV!F12,IF(B31=INV!B13,INV!F13,IF(B31=INV!B14,INV!F14,IF(B31=INV!B15,INV!F15,IF(B31=INV!B16,INV!F16,IF(B31=INV!B17,INV!F17,IF(B31=INV!B18,INV!F18,IF(B31=INV!B19,INV!F19,IF(B31=INV!B20,INV!F20,IF(B31=INV!B21,INV!F21,IF(B31=INV!B22,INV!F22,IF(B31=INV!B23,INV!F23,IF(B31=INV!B24,INV!F24,IF(B31=INV!B25,INV!F25,IF(B31=INV!B26,INV!F26,IF(B31=INV!B27,INV!F27,IF(B31=INV!B28,INV!F28,IF(B31=INV!B29,INV!F29,IF(B31=INV!B30,INV!F30,IF(B31=INV!B31,INV!F31,IF(B31=INV!B32,INV!F32,IF(B31=INV!B33,INV!F33,IF(B31=INV!B34,INV!F34,IF(B31=INV!B35,INV!F35,IF(B31=INV!B36,INV!F36,IF(B31=INV!B37,INV!F37,IF(B31=INV!B38,INV!F38,IF(B31=INV!B39,INV!F39,IF(B31=INV!B40,INV!F40,IF(B31=INV!B41,INV!F41,IF(B31=INV!B42,INV!F42,IF(B31=INV!B43,INV!F43,IF(B31=INV!B44,INV!F44,IF(B31=INV!B45,INV!F45,IF(B31=INV!B46,INV!F46,IF(B31=INV!B47,INV!F47,IF(B31=INV!B48,INV!F48,IF(B31=INV!B49,INV!F49,IF(B31=INV!B50,INV!F50,IF(B31=INV!B51,INV!F51,IF(B31=INV!B52,INV!F52,IF(B31=INV!B53,INV!F53,IF(B31=INV!B54,INV!F54,IF(B31=INV!B55,INV!F55,IF(B31=INV!B56,INV!F56,IF(B31=INV!B57,INV!F57,IF(B31=INV!B58,INV!F58,IF(B31=INV!B59,INV!F59,IF(B31=INV!B60,INV!F60))))))))))))))))))))))))))))))))))))))))))))))))))))))))))))</f>
        <v/>
      </c>
      <c r="H31" s="17" t="str">
        <f>IF(G31="","",G31*J16)</f>
        <v/>
      </c>
      <c r="I31" s="17" t="str">
        <f t="shared" si="0"/>
        <v/>
      </c>
      <c r="J31" s="17" t="str">
        <f>IF(G31="","",I31*J16)</f>
        <v/>
      </c>
      <c r="L31" s="43"/>
    </row>
    <row r="32" spans="2:12" ht="9.75" customHeight="1">
      <c r="B32" s="15"/>
      <c r="C32" s="15"/>
      <c r="D32" s="15"/>
      <c r="E32" s="18"/>
      <c r="F32" s="18"/>
      <c r="G32" s="15"/>
      <c r="H32" s="19"/>
      <c r="I32" s="19"/>
      <c r="J32" s="19"/>
    </row>
    <row r="33" spans="3:10" ht="15" customHeight="1">
      <c r="C33" s="20"/>
      <c r="D33" s="20"/>
      <c r="F33" s="20" t="s">
        <v>204</v>
      </c>
      <c r="G33" s="20" t="s">
        <v>205</v>
      </c>
      <c r="H33" s="20" t="s">
        <v>227</v>
      </c>
      <c r="I33" s="41" t="s">
        <v>230</v>
      </c>
      <c r="J33" s="42" t="s">
        <v>231</v>
      </c>
    </row>
    <row r="34" spans="3:10">
      <c r="C34" s="20"/>
      <c r="D34" s="20"/>
      <c r="F34" s="45">
        <f>SUM(F21:F31)</f>
        <v>0</v>
      </c>
      <c r="G34" s="45">
        <f>COUNT(F21:F31)</f>
        <v>0</v>
      </c>
      <c r="H34" s="46" t="str">
        <f>IF(J17="NO","",IF(J17="SI",SUM(J21:J31)*10%))</f>
        <v/>
      </c>
      <c r="I34" s="47">
        <f>IF(J17="NO",SUM(I21:I31),SUM(I21:I31)-H34)</f>
        <v>0</v>
      </c>
      <c r="J34" s="48">
        <f>IF(J17="NO",SUM(J21:J31),SUM(J21:J31)-H34)</f>
        <v>0</v>
      </c>
    </row>
  </sheetData>
  <sheetProtection sheet="1" objects="1" selectLockedCells="1"/>
  <mergeCells count="17">
    <mergeCell ref="D30:E30"/>
    <mergeCell ref="D31:E31"/>
    <mergeCell ref="D19:E19"/>
    <mergeCell ref="D25:E25"/>
    <mergeCell ref="D26:E26"/>
    <mergeCell ref="D27:E27"/>
    <mergeCell ref="D28:E28"/>
    <mergeCell ref="D29:E29"/>
    <mergeCell ref="D21:E21"/>
    <mergeCell ref="D22:E22"/>
    <mergeCell ref="D23:E23"/>
    <mergeCell ref="D24:E24"/>
    <mergeCell ref="A1:J3"/>
    <mergeCell ref="C10:G10"/>
    <mergeCell ref="C12:G12"/>
    <mergeCell ref="C14:G14"/>
    <mergeCell ref="C16:G16"/>
  </mergeCells>
  <pageMargins left="0.7" right="0.7" top="0.75" bottom="0.75" header="0.3" footer="0.3"/>
  <pageSetup paperSize="9" orientation="portrait" r:id="rId1"/>
  <drawing r:id="rId2"/>
  <picture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4ED816-2761-4A8C-B68E-402278237F5E}">
          <x14:formula1>
            <xm:f>DATA!$A$5:$A$6</xm:f>
          </x14:formula1>
          <xm:sqref>J17</xm:sqref>
        </x14:dataValidation>
        <x14:dataValidation type="list" allowBlank="1" showInputMessage="1" showErrorMessage="1" xr:uid="{2F5A507A-2F87-488A-B899-87D3E0FF37ED}">
          <x14:formula1>
            <xm:f>INV!$B:$B</xm:f>
          </x14:formula1>
          <xm:sqref>B21:B32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A6" sqref="A6"/>
    </sheetView>
  </sheetViews>
  <sheetFormatPr baseColWidth="10" defaultColWidth="11" defaultRowHeight="15"/>
  <cols>
    <col min="1" max="1" width="15.42578125" customWidth="1"/>
  </cols>
  <sheetData>
    <row r="1" spans="1:1">
      <c r="A1" t="s">
        <v>199</v>
      </c>
    </row>
    <row r="2" spans="1:1">
      <c r="A2" t="s">
        <v>211</v>
      </c>
    </row>
    <row r="3" spans="1:1">
      <c r="A3" t="s">
        <v>207</v>
      </c>
    </row>
    <row r="4" spans="1:1">
      <c r="A4" t="s">
        <v>212</v>
      </c>
    </row>
    <row r="5" spans="1:1">
      <c r="A5" t="s">
        <v>225</v>
      </c>
    </row>
    <row r="6" spans="1:1">
      <c r="A6" t="s">
        <v>226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4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www.w3.org/2000/xmlns/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INV</vt:lpstr>
      <vt:lpstr>NOTA $</vt:lpstr>
      <vt:lpstr>NOTA BS</vt:lpstr>
      <vt:lpstr>PRESUP</vt:lpstr>
      <vt:lpstr>DATA</vt:lpstr>
      <vt:lpstr>INV!Área_de_impresión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Nestor D. Figueredo C.</cp:lastModifiedBy>
  <cp:lastPrinted>2026-09-10T14:02:54Z</cp:lastPrinted>
  <dcterms:created xsi:type="dcterms:W3CDTF">2025-02-25T16:04:00Z</dcterms:created>
  <dcterms:modified xsi:type="dcterms:W3CDTF">2026-09-15T18:06:20Z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A7A121910C1649B881B5D53F39C6AD26_12</vt:lpwstr>
  </property>
  <property fmtid="{D5CDD505-2E9C-101B-9397-08002B2CF9AE}" pid="3" name="KSOProductBuildVer">
    <vt:lpwstr>3082-12.2.0.19805</vt:lpwstr>
  </property>
</Properties>
</file>